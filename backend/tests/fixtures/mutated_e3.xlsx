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3" activeTab="23" autoFilterDateGrouping="1"/>
  </bookViews>
  <sheets>
    <sheet xmlns:r="http://schemas.openxmlformats.org/officeDocument/2006/relationships" name="ConsolidatedMHrequirementApr25" sheetId="1" state="visible" r:id="rId1"/>
    <sheet xmlns:r="http://schemas.openxmlformats.org/officeDocument/2006/relationships" name="Apr25" sheetId="2" state="visible" r:id="rId2"/>
    <sheet xmlns:r="http://schemas.openxmlformats.org/officeDocument/2006/relationships" name="ConsolidatedMHrequirementMay25" sheetId="3" state="visible" r:id="rId3"/>
    <sheet xmlns:r="http://schemas.openxmlformats.org/officeDocument/2006/relationships" name="May25" sheetId="4" state="visible" r:id="rId4"/>
    <sheet xmlns:r="http://schemas.openxmlformats.org/officeDocument/2006/relationships" name="ConsolidatedMHrequirementJun25" sheetId="5" state="visible" r:id="rId5"/>
    <sheet xmlns:r="http://schemas.openxmlformats.org/officeDocument/2006/relationships" name="Jun25" sheetId="6" state="visible" r:id="rId6"/>
    <sheet xmlns:r="http://schemas.openxmlformats.org/officeDocument/2006/relationships" name="Apr-Jun25PjtMHShortfall" sheetId="7" state="visible" r:id="rId7"/>
    <sheet xmlns:r="http://schemas.openxmlformats.org/officeDocument/2006/relationships" name="ConsolidatedMHrequirementJul25" sheetId="8" state="visible" r:id="rId8"/>
    <sheet xmlns:r="http://schemas.openxmlformats.org/officeDocument/2006/relationships" name="Jul25" sheetId="9" state="visible" r:id="rId9"/>
    <sheet xmlns:r="http://schemas.openxmlformats.org/officeDocument/2006/relationships" name="ConsolidatedMHrequirementAug25" sheetId="10" state="visible" r:id="rId10"/>
    <sheet xmlns:r="http://schemas.openxmlformats.org/officeDocument/2006/relationships" name="Aug25" sheetId="11" state="visible" r:id="rId11"/>
    <sheet xmlns:r="http://schemas.openxmlformats.org/officeDocument/2006/relationships" name="ConsolidatedMHrequirementSep25" sheetId="12" state="visible" r:id="rId12"/>
    <sheet xmlns:r="http://schemas.openxmlformats.org/officeDocument/2006/relationships" name="Sep25" sheetId="13" state="visible" r:id="rId13"/>
    <sheet xmlns:r="http://schemas.openxmlformats.org/officeDocument/2006/relationships" name="Jul-Sep25MHRequirement" sheetId="14" state="visible" r:id="rId14"/>
    <sheet xmlns:r="http://schemas.openxmlformats.org/officeDocument/2006/relationships" name="ConsolidatedMHrequirementOct25" sheetId="15" state="visible" r:id="rId15"/>
    <sheet xmlns:r="http://schemas.openxmlformats.org/officeDocument/2006/relationships" name="Oct25" sheetId="16" state="visible" r:id="rId16"/>
    <sheet xmlns:r="http://schemas.openxmlformats.org/officeDocument/2006/relationships" name="ConsolidatedMHrequirementNov25" sheetId="17" state="visible" r:id="rId17"/>
    <sheet xmlns:r="http://schemas.openxmlformats.org/officeDocument/2006/relationships" name="Nov25 " sheetId="18" state="visible" r:id="rId18"/>
    <sheet xmlns:r="http://schemas.openxmlformats.org/officeDocument/2006/relationships" name="ConsolidatedMHrequirementDec25" sheetId="19" state="visible" r:id="rId19"/>
    <sheet xmlns:r="http://schemas.openxmlformats.org/officeDocument/2006/relationships" name="Dec25" sheetId="20" state="visible" r:id="rId20"/>
    <sheet xmlns:r="http://schemas.openxmlformats.org/officeDocument/2006/relationships" name="Oct-Dec25MHRequirement" sheetId="21" state="visible" r:id="rId21"/>
    <sheet xmlns:r="http://schemas.openxmlformats.org/officeDocument/2006/relationships" name="ConsolidatedMHrequirementJan26" sheetId="22" state="visible" r:id="rId22"/>
    <sheet xmlns:r="http://schemas.openxmlformats.org/officeDocument/2006/relationships" name="Jan26" sheetId="23" state="visible" r:id="rId23"/>
    <sheet xmlns:r="http://schemas.openxmlformats.org/officeDocument/2006/relationships" name="ConsolidatedMHrequirementFeb26" sheetId="24" state="visible" r:id="rId24"/>
    <sheet xmlns:r="http://schemas.openxmlformats.org/officeDocument/2006/relationships" name="Feb26" sheetId="25" state="visible" r:id="rId25"/>
    <sheet xmlns:r="http://schemas.openxmlformats.org/officeDocument/2006/relationships" name="ConsolidatedMHrequirementMar26" sheetId="26" state="visible" r:id="rId26"/>
    <sheet xmlns:r="http://schemas.openxmlformats.org/officeDocument/2006/relationships" name="Mar26" sheetId="27" state="visible" r:id="rId27"/>
    <sheet xmlns:r="http://schemas.openxmlformats.org/officeDocument/2006/relationships" name="Jan-Mar26MHRequirement" sheetId="28" state="visible" r:id="rId28"/>
    <sheet xmlns:r="http://schemas.openxmlformats.org/officeDocument/2006/relationships" name="Jul-Sep23PjtMHShortfall" sheetId="29" state="visible" r:id="rId29"/>
  </sheets>
  <definedNames>
    <definedName name="_xlnm._FilterDatabase" localSheetId="0" hidden="1">'ConsolidatedMHrequirementApr25'!$A$3:$Q$64</definedName>
    <definedName name="_xlnm._FilterDatabase" localSheetId="1" hidden="1">'Apr25'!$A$2:$L$37</definedName>
    <definedName name="_xlnm.Print_Area" localSheetId="1">'Apr25'!$A$1:$L$37</definedName>
    <definedName name="_xlnm._FilterDatabase" localSheetId="3" hidden="1">'May25'!$A$3:$L$42</definedName>
    <definedName name="_xlnm.Print_Area" localSheetId="3">'May25'!$A$1:$L$40</definedName>
    <definedName name="_xlnm._FilterDatabase" localSheetId="5" hidden="1">'Jun25'!$A$3:$L$43</definedName>
    <definedName name="_xlnm.Print_Area" localSheetId="5">'Jun25'!$A$1:$L$40</definedName>
    <definedName name="_xlnm._FilterDatabase" localSheetId="6" hidden="1">'Apr-Jun25PjtMHShortfall'!$A$3:$K$43</definedName>
    <definedName name="_xlnm._FilterDatabase" localSheetId="8" hidden="1">'Jul25'!$A$3:$L$45</definedName>
    <definedName name="_xlnm.Print_Area" localSheetId="8">'Jul25'!$A$1:$L$41</definedName>
    <definedName name="_xlnm._FilterDatabase" localSheetId="10" hidden="1">'Aug25'!$A$3:$L$45</definedName>
    <definedName name="_xlnm.Print_Area" localSheetId="10">'Aug25'!$A$1:$L$41</definedName>
    <definedName name="_xlnm._FilterDatabase" localSheetId="12" hidden="1">'Sep25'!$A$3:$L$45</definedName>
    <definedName name="_xlnm.Print_Area" localSheetId="12">'Sep25'!$A$1:$L$41</definedName>
    <definedName name="_xlnm._FilterDatabase" localSheetId="13" hidden="1">'Jul-Sep25MHRequirement'!$A$3:$Q$44</definedName>
    <definedName name="_xlnm._FilterDatabase" localSheetId="15" hidden="1">'Oct25'!$A$3:$L$48</definedName>
    <definedName name="_xlnm.Print_Area" localSheetId="15">'Oct25'!$A$1:$L$42</definedName>
    <definedName name="_xlnm._FilterDatabase" localSheetId="17" hidden="1">'Nov25 '!$A$3:$L$51</definedName>
    <definedName name="_xlnm.Print_Area" localSheetId="17">'Nov25 '!$A$1:$L$44</definedName>
    <definedName name="_xlnm._FilterDatabase" localSheetId="19" hidden="1">'Dec25'!$A$3:$L$53</definedName>
    <definedName name="_xlnm.Print_Area" localSheetId="19">'Dec25'!$A$1:$L$46</definedName>
    <definedName name="_xlnm._FilterDatabase" localSheetId="20" hidden="1">'Oct-Dec25MHRequirement'!$A$3:$K$52</definedName>
    <definedName name="_xlnm.Print_Area" localSheetId="22">'Jan26'!$A$1:$L$47</definedName>
    <definedName name="_xlnm.Print_Area" localSheetId="24">'Feb26'!$A$1:$L$47</definedName>
    <definedName name="_xlnm.Print_Area" localSheetId="26">'Mar26'!$A$1:$L$47</definedName>
    <definedName name="_xlnm._FilterDatabase" localSheetId="27" hidden="1">'Jan-Mar26MHRequirement'!$A$3:$K$53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rgb="FFFF0000"/>
      <sz val="9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trike val="1"/>
      <color rgb="FFFF00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8" fillId="0" borderId="0"/>
    <xf numFmtId="9" fontId="8" fillId="0" borderId="0"/>
  </cellStyleXfs>
  <cellXfs count="12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0" fillId="2" borderId="0" pivotButton="0" quotePrefix="0" xfId="0"/>
    <xf numFmtId="0" fontId="0" fillId="3" borderId="1" applyAlignment="1" pivotButton="0" quotePrefix="0" xfId="0">
      <alignment wrapText="1"/>
    </xf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applyAlignment="1" pivotButton="0" quotePrefix="0" xfId="0">
      <alignment wrapText="1"/>
    </xf>
    <xf numFmtId="0" fontId="2" fillId="2" borderId="1" pivotButton="0" quotePrefix="0" xfId="0"/>
    <xf numFmtId="0" fontId="0" fillId="0" borderId="2" pivotButton="0" quotePrefix="0" xfId="0"/>
    <xf numFmtId="0" fontId="2" fillId="2" borderId="1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5" applyAlignment="1" pivotButton="0" quotePrefix="0" xfId="0">
      <alignment wrapText="1"/>
    </xf>
    <xf numFmtId="0" fontId="0" fillId="2" borderId="4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2" fillId="0" borderId="6" applyAlignment="1" pivotButton="0" quotePrefix="0" xfId="0">
      <alignment horizontal="left" vertical="top"/>
    </xf>
    <xf numFmtId="0" fontId="0" fillId="0" borderId="6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0" fillId="2" borderId="1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/>
    </xf>
    <xf numFmtId="0" fontId="1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2" fillId="5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wrapText="1"/>
    </xf>
    <xf numFmtId="2" fontId="0" fillId="2" borderId="3" applyAlignment="1" pivotButton="0" quotePrefix="0" xfId="0">
      <alignment horizontal="center" wrapText="1"/>
    </xf>
    <xf numFmtId="2" fontId="1" fillId="2" borderId="4" applyAlignment="1" pivotButton="0" quotePrefix="0" xfId="0">
      <alignment horizontal="center" wrapText="1"/>
    </xf>
    <xf numFmtId="2" fontId="1" fillId="2" borderId="5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3" applyAlignment="1" pivotButton="0" quotePrefix="0" xfId="0">
      <alignment horizontal="centerContinuous" wrapText="1"/>
    </xf>
    <xf numFmtId="0" fontId="0" fillId="2" borderId="4" applyAlignment="1" pivotButton="0" quotePrefix="0" xfId="0">
      <alignment horizontal="centerContinuous" wrapText="1"/>
    </xf>
    <xf numFmtId="0" fontId="0" fillId="2" borderId="5" applyAlignment="1" pivotButton="0" quotePrefix="0" xfId="0">
      <alignment horizontal="centerContinuous" wrapText="1"/>
    </xf>
    <xf numFmtId="17" fontId="2" fillId="0" borderId="0" pivotButton="0" quotePrefix="0" xfId="0"/>
    <xf numFmtId="0" fontId="1" fillId="2" borderId="1" pivotButton="0" quotePrefix="0" xfId="0"/>
    <xf numFmtId="0" fontId="0" fillId="2" borderId="1" applyAlignment="1" pivotButton="0" quotePrefix="0" xfId="0">
      <alignment horizontal="center"/>
    </xf>
    <xf numFmtId="0" fontId="4" fillId="2" borderId="1" pivotButton="0" quotePrefix="0" xfId="0"/>
    <xf numFmtId="0" fontId="5" fillId="0" borderId="0" pivotButton="0" quotePrefix="0" xfId="0"/>
    <xf numFmtId="0" fontId="0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2" fillId="0" borderId="1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3" applyAlignment="1" pivotButton="0" quotePrefix="0" xfId="0">
      <alignment wrapText="1"/>
    </xf>
    <xf numFmtId="0" fontId="2" fillId="3" borderId="0" pivotButton="0" quotePrefix="0" xfId="0"/>
    <xf numFmtId="2" fontId="5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7" fontId="4" fillId="2" borderId="0" pivotButton="0" quotePrefix="0" xfId="0"/>
    <xf numFmtId="9" fontId="2" fillId="3" borderId="0" pivotButton="0" quotePrefix="0" xfId="1"/>
    <xf numFmtId="9" fontId="2" fillId="3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2" borderId="4" applyAlignment="1" pivotButton="0" quotePrefix="0" xfId="0">
      <alignment horizontal="centerContinuous" wrapText="1"/>
    </xf>
    <xf numFmtId="0" fontId="4" fillId="2" borderId="3" applyAlignment="1" pivotButton="0" quotePrefix="0" xfId="0">
      <alignment horizontal="centerContinuous" wrapTex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8" pivotButton="0" quotePrefix="0" xfId="0"/>
    <xf numFmtId="0" fontId="10" fillId="2" borderId="0" pivotButton="0" quotePrefix="0" xfId="0"/>
    <xf numFmtId="0" fontId="11" fillId="2" borderId="0" pivotButton="0" quotePrefix="0" xfId="0"/>
    <xf numFmtId="9" fontId="10" fillId="2" borderId="0" pivotButton="0" quotePrefix="0" xfId="1"/>
    <xf numFmtId="9" fontId="10" fillId="2" borderId="0" pivotButton="0" quotePrefix="0" xfId="0"/>
    <xf numFmtId="0" fontId="0" fillId="2" borderId="3" applyAlignment="1" pivotButton="0" quotePrefix="0" xfId="0">
      <alignment wrapText="1"/>
    </xf>
    <xf numFmtId="0" fontId="0" fillId="2" borderId="4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2" fontId="0" fillId="2" borderId="3" applyAlignment="1" pivotButton="0" quotePrefix="0" xfId="0">
      <alignment horizontal="left" vertical="top" wrapText="1"/>
    </xf>
    <xf numFmtId="2" fontId="0" fillId="2" borderId="4" applyAlignment="1" pivotButton="0" quotePrefix="0" xfId="0">
      <alignment horizontal="left" vertical="top" wrapText="1"/>
    </xf>
    <xf numFmtId="2" fontId="0" fillId="2" borderId="5" applyAlignment="1" pivotButton="0" quotePrefix="0" xfId="0">
      <alignment horizontal="left" vertical="top" wrapText="1"/>
    </xf>
    <xf numFmtId="0" fontId="1" fillId="2" borderId="4" applyAlignment="1" pivotButton="0" quotePrefix="0" xfId="0">
      <alignment wrapText="1"/>
    </xf>
    <xf numFmtId="0" fontId="1" fillId="2" borderId="5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8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2" fillId="0" borderId="0" pivotButton="0" quotePrefix="0" xfId="0"/>
    <xf numFmtId="0" fontId="10" fillId="2" borderId="0" pivotButton="0" quotePrefix="0" xfId="0"/>
    <xf numFmtId="16" fontId="2" fillId="0" borderId="0" pivotButton="0" quotePrefix="0" xfId="0"/>
    <xf numFmtId="0" fontId="0" fillId="0" borderId="0" pivotButton="0" quotePrefix="0" xfId="0"/>
    <xf numFmtId="2" fontId="0" fillId="2" borderId="1" applyAlignment="1" pivotButton="0" quotePrefix="0" xfId="0">
      <alignment horizontal="left" vertical="top"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Insp@MIL%20on%209/12" TargetMode="Externa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Q66"/>
  <sheetViews>
    <sheetView topLeftCell="A17" zoomScale="94" zoomScaleNormal="94" workbookViewId="0">
      <selection activeCell="A3" sqref="A3:XFD3"/>
    </sheetView>
  </sheetViews>
  <sheetFormatPr baseColWidth="8" defaultRowHeight="14.5"/>
  <cols>
    <col width="12.453125" customWidth="1" style="4" min="1" max="1"/>
    <col width="10.54296875" customWidth="1" style="125" min="2" max="2"/>
    <col width="17.08984375" customWidth="1" style="125" min="9" max="9"/>
    <col width="15" customWidth="1" style="125" min="13" max="15"/>
  </cols>
  <sheetData>
    <row r="1">
      <c r="A1" s="118" t="inlineStr">
        <is>
          <t>Consolidated man hour requirement  for Apr'25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>
      <c r="A2" s="119">
        <f>(20*8*6)</f>
        <v/>
      </c>
      <c r="B2" s="111" t="n"/>
      <c r="C2" s="111" t="n"/>
      <c r="D2" s="111" t="n"/>
      <c r="E2" s="111" t="n"/>
      <c r="F2" s="111" t="n"/>
      <c r="G2" s="111" t="n"/>
      <c r="H2" s="111" t="n"/>
      <c r="I2" s="112" t="n"/>
      <c r="J2" s="1" t="n"/>
      <c r="K2" s="111" t="n"/>
      <c r="L2" s="111" t="n"/>
      <c r="M2" s="112" t="n"/>
    </row>
    <row r="3" ht="41.25" customHeight="1" s="125">
      <c r="A3" s="3" t="inlineStr">
        <is>
          <t>Job No</t>
        </is>
      </c>
      <c r="B3" s="3" t="inlineStr">
        <is>
          <t>No. of orders</t>
        </is>
      </c>
      <c r="C3" s="3" t="inlineStr">
        <is>
          <t>Exp.</t>
        </is>
      </c>
      <c r="D3" s="3" t="inlineStr">
        <is>
          <t>Inspn</t>
        </is>
      </c>
      <c r="E3" s="9" t="inlineStr">
        <is>
          <t>Others</t>
        </is>
      </c>
      <c r="F3" s="3" t="inlineStr">
        <is>
          <t>Total</t>
        </is>
      </c>
      <c r="G3" s="1" t="inlineStr">
        <is>
          <t>*Others/ Remarks</t>
        </is>
      </c>
      <c r="H3" s="111" t="n"/>
      <c r="I3" s="112" t="n"/>
      <c r="J3" s="1" t="inlineStr">
        <is>
          <t>Insp/ Project Coordinators</t>
        </is>
      </c>
      <c r="K3" s="111" t="n"/>
      <c r="L3" s="111" t="n"/>
      <c r="M3" s="112" t="n"/>
      <c r="N3" s="2" t="inlineStr">
        <is>
          <t xml:space="preserve">MH available as on </t>
        </is>
      </c>
      <c r="O3" s="5" t="inlineStr">
        <is>
          <t>MH to be released for Apr'25</t>
        </is>
      </c>
      <c r="P3" t="inlineStr">
        <is>
          <t>Allotted</t>
        </is>
      </c>
      <c r="Q3" t="inlineStr">
        <is>
          <t>8518 reqd</t>
        </is>
      </c>
    </row>
    <row r="4" hidden="1" ht="41.25" customHeight="1" s="125">
      <c r="A4" s="29" t="inlineStr">
        <is>
          <t>B016</t>
        </is>
      </c>
      <c r="B4" s="3" t="n">
        <v>0</v>
      </c>
      <c r="C4" s="3" t="n">
        <v>0</v>
      </c>
      <c r="D4" s="3" t="n"/>
      <c r="E4" s="9" t="n">
        <v>0</v>
      </c>
      <c r="F4" s="3" t="n">
        <v>0</v>
      </c>
      <c r="G4" s="9" t="inlineStr">
        <is>
          <t xml:space="preserve"> </t>
        </is>
      </c>
      <c r="H4" s="111" t="n"/>
      <c r="I4" s="112" t="n"/>
      <c r="J4" s="110" t="inlineStr">
        <is>
          <t>Uday Pratap Singh/Pankaj Saxena/Alok Singh</t>
        </is>
      </c>
      <c r="K4" s="111" t="n"/>
      <c r="L4" s="111" t="n"/>
      <c r="M4" s="112" t="n"/>
      <c r="N4" s="2" t="n"/>
      <c r="O4" s="5" t="n"/>
      <c r="Q4" t="inlineStr">
        <is>
          <t>10h issued on 2/5[1714];16h rel on 2/7[1722];8h rel on 12/9[1730] for VFD</t>
        </is>
      </c>
    </row>
    <row r="5" hidden="1" ht="83.5" customHeight="1" s="125">
      <c r="A5" s="28" t="inlineStr">
        <is>
          <t>B035</t>
        </is>
      </c>
      <c r="B5" s="3" t="n">
        <v>1</v>
      </c>
      <c r="C5" s="3">
        <f>1*8</f>
        <v/>
      </c>
      <c r="D5" s="3" t="n">
        <v>0</v>
      </c>
      <c r="E5" s="12" t="n">
        <v>0</v>
      </c>
      <c r="F5" s="3">
        <f>C5+D5+E5</f>
        <v/>
      </c>
      <c r="G5" s="9" t="inlineStr">
        <is>
          <t>Expediting - Greensol;</t>
        </is>
      </c>
      <c r="H5" s="111" t="n"/>
      <c r="I5" s="112" t="n"/>
      <c r="J5" s="6" t="inlineStr">
        <is>
          <t>Saeed Akhtar/ D Jana</t>
        </is>
      </c>
      <c r="K5" s="7" t="n"/>
      <c r="L5" s="7" t="n"/>
      <c r="M5" s="8" t="n"/>
      <c r="N5" s="3" t="n">
        <v>0</v>
      </c>
      <c r="O5" s="3">
        <f>F5-N5</f>
        <v/>
      </c>
      <c r="P5" t="inlineStr">
        <is>
          <t xml:space="preserve"> </t>
        </is>
      </c>
      <c r="Q5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6" hidden="1" ht="83.5" customHeight="1" s="125">
      <c r="A6" s="28" t="inlineStr">
        <is>
          <t>B038</t>
        </is>
      </c>
      <c r="B6" s="3" t="n">
        <v>2</v>
      </c>
      <c r="C6" s="3">
        <f>2*2</f>
        <v/>
      </c>
      <c r="D6" s="3" t="n">
        <v>0</v>
      </c>
      <c r="E6" s="9" t="n">
        <v>0</v>
      </c>
      <c r="F6" s="3">
        <f>C6+D6+E6</f>
        <v/>
      </c>
      <c r="G6" s="9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</t>
        </is>
      </c>
      <c r="H6" s="111" t="n"/>
      <c r="I6" s="112" t="n"/>
      <c r="J6" s="6" t="inlineStr">
        <is>
          <t>Himanghsu Pal/Sanjeev Kumar/Aasheesh Handa</t>
        </is>
      </c>
      <c r="K6" s="7" t="n"/>
      <c r="L6" s="7" t="n"/>
      <c r="M6" s="8" t="n"/>
      <c r="N6" s="3" t="n">
        <v>0</v>
      </c>
      <c r="O6" s="3">
        <f>F6-N6</f>
        <v/>
      </c>
      <c r="Q6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7" hidden="1" ht="83.5" customHeight="1" s="125">
      <c r="A7" s="28" t="inlineStr">
        <is>
          <t>B058</t>
        </is>
      </c>
      <c r="B7" s="3" t="n">
        <v>1</v>
      </c>
      <c r="C7" s="3" t="n">
        <v>0</v>
      </c>
      <c r="D7" s="3" t="n"/>
      <c r="E7" s="9" t="n"/>
      <c r="F7" s="3" t="n">
        <v>0</v>
      </c>
      <c r="G7" s="9" t="inlineStr">
        <is>
          <t xml:space="preserve"> </t>
        </is>
      </c>
      <c r="H7" s="111" t="n"/>
      <c r="I7" s="112" t="n"/>
      <c r="J7" s="6" t="inlineStr">
        <is>
          <t>Patra/Sanjay Dhuria</t>
        </is>
      </c>
      <c r="K7" s="7" t="n"/>
      <c r="L7" s="7" t="n"/>
      <c r="M7" s="8" t="n"/>
      <c r="N7" s="3" t="n"/>
      <c r="O7" s="3" t="n"/>
      <c r="Q7" t="inlineStr">
        <is>
          <t>8h rel on 1/8</t>
        </is>
      </c>
    </row>
    <row r="8" ht="83.5" customHeight="1" s="125">
      <c r="A8" s="28" t="inlineStr">
        <is>
          <t>B224 -03</t>
        </is>
      </c>
      <c r="B8" s="3" t="inlineStr">
        <is>
          <t>CDU/VDU</t>
        </is>
      </c>
      <c r="C8" s="3" t="inlineStr">
        <is>
          <t>Tata Projects</t>
        </is>
      </c>
      <c r="D8" s="3" t="inlineStr">
        <is>
          <t xml:space="preserve"> </t>
        </is>
      </c>
      <c r="E8" s="9" t="n"/>
      <c r="F8" s="3" t="n">
        <v>0</v>
      </c>
      <c r="G8" s="9" t="inlineStr">
        <is>
          <t xml:space="preserve"> </t>
        </is>
      </c>
      <c r="H8" s="111" t="n"/>
      <c r="I8" s="112" t="n"/>
      <c r="J8" s="6" t="inlineStr">
        <is>
          <t>Mr Dipak Panchal / Mr Sunil Saurabh/ Mr R.K.Mohabe/Neena Mukherjee</t>
        </is>
      </c>
      <c r="K8" s="7" t="n"/>
      <c r="L8" s="7" t="n"/>
      <c r="M8" s="8" t="n"/>
      <c r="N8" s="3" t="n">
        <v>0</v>
      </c>
      <c r="O8" s="3" t="n">
        <v>56</v>
      </c>
      <c r="Q8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9" ht="83.5" customHeight="1" s="125">
      <c r="A9" s="28" t="inlineStr">
        <is>
          <t>B224 -03</t>
        </is>
      </c>
      <c r="B9" s="3" t="inlineStr">
        <is>
          <t>VGO</t>
        </is>
      </c>
      <c r="C9" s="3" t="inlineStr">
        <is>
          <t>Tata Projects</t>
        </is>
      </c>
      <c r="D9" s="3" t="n"/>
      <c r="E9" s="9" t="n"/>
      <c r="F9" s="3" t="n"/>
      <c r="G9" s="9" t="n"/>
      <c r="H9" s="111" t="n"/>
      <c r="I9" s="112" t="n"/>
      <c r="J9" s="6" t="inlineStr">
        <is>
          <t>Mr Aasheesh Handa / Mr Manoj Kumar/ Mr R.K.Mohabe</t>
        </is>
      </c>
      <c r="K9" s="7" t="n"/>
      <c r="L9" s="7" t="n"/>
      <c r="M9" s="8" t="n"/>
      <c r="N9" s="3" t="n"/>
      <c r="O9" s="3" t="n"/>
    </row>
    <row r="10" ht="83.5" customHeight="1" s="125">
      <c r="A10" s="28" t="inlineStr">
        <is>
          <t>B224 -03</t>
        </is>
      </c>
      <c r="B10" s="3" t="inlineStr">
        <is>
          <t>DCU</t>
        </is>
      </c>
      <c r="C10" s="3" t="inlineStr">
        <is>
          <t>Tata Projects</t>
        </is>
      </c>
      <c r="D10" s="3" t="n"/>
      <c r="E10" s="9" t="n"/>
      <c r="F10" s="3" t="n">
        <v>0</v>
      </c>
      <c r="G10" s="9" t="inlineStr">
        <is>
          <t xml:space="preserve"> </t>
        </is>
      </c>
      <c r="H10" s="111" t="n"/>
      <c r="I10" s="112" t="n"/>
      <c r="J10" s="6" t="inlineStr">
        <is>
          <t>Mr Arun Sharma / Mr Pawan Kumar Singh/ Mr R.K.Mohabe</t>
        </is>
      </c>
      <c r="K10" s="7" t="n"/>
      <c r="L10" s="7" t="n"/>
      <c r="M10" s="8" t="n"/>
      <c r="N10" s="3" t="n"/>
      <c r="O10" s="3" t="n"/>
    </row>
    <row r="11" ht="83.5" customHeight="1" s="125">
      <c r="A11" s="28" t="inlineStr">
        <is>
          <t>B224 -03</t>
        </is>
      </c>
      <c r="B11" s="3" t="inlineStr">
        <is>
          <t>DHDT/ HGU</t>
        </is>
      </c>
      <c r="C11" s="3" t="inlineStr">
        <is>
          <t>TOYO</t>
        </is>
      </c>
      <c r="D11" s="3" t="n"/>
      <c r="E11" s="9" t="n"/>
      <c r="F11" s="3" t="n">
        <v>0</v>
      </c>
      <c r="G11" s="9" t="n"/>
      <c r="H11" s="111" t="n"/>
      <c r="I11" s="112" t="n"/>
      <c r="J11" s="6" t="inlineStr">
        <is>
          <t>Ms Gauri Sharma / Mr K.Manish/Mr R.K. Mohabe/Neena</t>
        </is>
      </c>
      <c r="K11" s="7" t="n"/>
      <c r="L11" s="7" t="n"/>
      <c r="M11" s="8" t="n"/>
      <c r="N11" s="3" t="n"/>
      <c r="O11" s="3" t="n"/>
      <c r="P11" t="inlineStr">
        <is>
          <t>56 hrs relsd on 27/9 ;80h relsd against b224-00 on 11/8/22; 104 mh for 03 &amp; 04 relsd on 9/9 against Unit-00;144h rel on 3/11;100h rel on 20/1 [5825]</t>
        </is>
      </c>
    </row>
    <row r="12" ht="83.5" customHeight="1" s="125">
      <c r="A12" s="28" t="inlineStr">
        <is>
          <t>B224 -03</t>
        </is>
      </c>
      <c r="B12" s="3" t="inlineStr">
        <is>
          <t>PFCCU</t>
        </is>
      </c>
      <c r="C12" s="3" t="inlineStr">
        <is>
          <t>L &amp; T</t>
        </is>
      </c>
      <c r="D12" s="3" t="n"/>
      <c r="E12" s="9" t="n"/>
      <c r="F12" s="3" t="n">
        <v>0</v>
      </c>
      <c r="G12" s="9" t="inlineStr">
        <is>
          <t xml:space="preserve"> </t>
        </is>
      </c>
      <c r="H12" s="111" t="n"/>
      <c r="I12" s="112" t="n"/>
      <c r="J12" s="6" t="inlineStr">
        <is>
          <t>Ms Tania Mukharjee / Mr Arunabh Bera/Mr R.K.Mohabe</t>
        </is>
      </c>
      <c r="K12" s="7" t="n"/>
      <c r="L12" s="7" t="n"/>
      <c r="M12" s="8" t="n"/>
      <c r="N12" s="3" t="n"/>
      <c r="O12" s="3" t="n"/>
    </row>
    <row r="13" ht="181.5" customHeight="1" s="125">
      <c r="A13" s="10" t="inlineStr">
        <is>
          <t>B224-04</t>
        </is>
      </c>
      <c r="B13" s="3" t="inlineStr">
        <is>
          <t>DFCU</t>
        </is>
      </c>
      <c r="C13" s="3" t="inlineStr">
        <is>
          <t>L &amp; T</t>
        </is>
      </c>
      <c r="D13" s="3" t="n"/>
      <c r="E13" s="9" t="n"/>
      <c r="F13" s="3">
        <f>8*0.5</f>
        <v/>
      </c>
      <c r="G13" s="9" t="inlineStr">
        <is>
          <t>Insp: L&amp;T /YIL -Doc rev+IRN end-5/4(0.5d)</t>
        </is>
      </c>
      <c r="H13" s="111" t="n"/>
      <c r="I13" s="112" t="n"/>
      <c r="J13" s="6" t="inlineStr">
        <is>
          <t>Mr Sharad Saxena/ Mr Abhay Pratap Singh / Mr S.K.Singh/Sheesham</t>
        </is>
      </c>
      <c r="K13" s="7" t="n"/>
      <c r="L13" s="7" t="n"/>
      <c r="M13" s="8" t="n"/>
      <c r="N13" s="3" t="n"/>
      <c r="O13" s="3" t="n"/>
      <c r="P13" t="inlineStr">
        <is>
          <t>Auth &amp; MH rel pending- Sheesham!SV/NV- 144h issued on 28/3/22;56h relsd on 4/5/22;88h resld on 2/6/22;32h relsd on 6/7/22</t>
        </is>
      </c>
    </row>
    <row r="14" ht="83.5" customHeight="1" s="125">
      <c r="A14" s="28" t="inlineStr">
        <is>
          <t>B224-04</t>
        </is>
      </c>
      <c r="B14" s="3" t="inlineStr">
        <is>
          <t>Petrochemical</t>
        </is>
      </c>
      <c r="C14" s="3" t="n"/>
      <c r="D14" s="3" t="n"/>
      <c r="E14" s="9" t="n"/>
      <c r="F14" s="3" t="n"/>
      <c r="G14" s="9" t="n"/>
      <c r="H14" s="111" t="n"/>
      <c r="I14" s="112" t="n"/>
      <c r="J14" s="6" t="inlineStr">
        <is>
          <t>Mr Navneet Mann / Mr Rakesh  Sharma /Mr S.K.Singh</t>
        </is>
      </c>
      <c r="K14" s="7" t="n"/>
      <c r="L14" s="7" t="n"/>
      <c r="M14" s="8" t="n"/>
      <c r="N14" s="3" t="n"/>
      <c r="O14" s="3" t="n"/>
    </row>
    <row r="15" ht="102" customHeight="1" s="125">
      <c r="A15" s="28" t="inlineStr">
        <is>
          <t>B224-05</t>
        </is>
      </c>
      <c r="B15" s="3" t="inlineStr">
        <is>
          <t>Offsites &amp; Utilities</t>
        </is>
      </c>
      <c r="C15" s="3" t="n"/>
      <c r="D15" s="3" t="n"/>
      <c r="E15" s="9" t="n"/>
      <c r="F15" s="3">
        <f>8*0.5</f>
        <v/>
      </c>
      <c r="G15" s="9" t="inlineStr">
        <is>
          <t xml:space="preserve">Inspn:Afcons/Emerson-UFM- Doc/Compliance rev - 2/4 (0.5d); </t>
        </is>
      </c>
      <c r="H15" s="111" t="n"/>
      <c r="I15" s="112" t="n"/>
      <c r="J15" s="6" t="inlineStr">
        <is>
          <t>Mr Raju Chutani/ Mr Gul Nebhanani</t>
        </is>
      </c>
      <c r="K15" s="7" t="n"/>
      <c r="L15" s="7" t="n"/>
      <c r="M15" s="8" t="n"/>
      <c r="N15" s="3" t="n"/>
      <c r="O15" s="3" t="n"/>
      <c r="P15" t="inlineStr">
        <is>
          <t>88mh resld on 30/12/21;136h relsd on 28/2/22;112 h relsd on 30/3/22;40h on 28/5/22;40h relsd on 1/7/22;24h rel on 29/8</t>
        </is>
      </c>
    </row>
    <row r="16" ht="83.5" customHeight="1" s="125">
      <c r="A16" s="28" t="inlineStr">
        <is>
          <t>B224-06</t>
        </is>
      </c>
      <c r="B16" s="3" t="inlineStr">
        <is>
          <t>SRU</t>
        </is>
      </c>
      <c r="C16" s="3" t="inlineStr">
        <is>
          <t>MEIL</t>
        </is>
      </c>
      <c r="D16" s="3" t="n"/>
      <c r="E16" s="9" t="n">
        <v>0</v>
      </c>
      <c r="F16" s="3">
        <f>8*0.5</f>
        <v/>
      </c>
      <c r="G16" s="9" t="inlineStr">
        <is>
          <t>Koso Valve QAP appl (17/4 - 0.5d)</t>
        </is>
      </c>
      <c r="H16" s="111" t="n"/>
      <c r="I16" s="112" t="n"/>
      <c r="J16" s="6" t="n"/>
      <c r="K16" s="7" t="n"/>
      <c r="L16" s="7" t="n"/>
      <c r="M16" s="8" t="n"/>
      <c r="N16" s="3" t="n"/>
      <c r="O16" s="3" t="n"/>
    </row>
    <row r="17" ht="83.5" customHeight="1" s="125">
      <c r="A17" s="28" t="inlineStr">
        <is>
          <t>B224-08</t>
        </is>
      </c>
      <c r="B17" s="3" t="inlineStr">
        <is>
          <t>LLDPE</t>
        </is>
      </c>
      <c r="C17" s="3" t="inlineStr">
        <is>
          <t>MEIL</t>
        </is>
      </c>
      <c r="D17" s="3" t="n"/>
      <c r="E17" s="9" t="n"/>
      <c r="F17" s="3">
        <f>8*1</f>
        <v/>
      </c>
      <c r="G17" s="9" t="inlineStr">
        <is>
          <t>YIL - Shelters - Inlet Pump Skids Insp - 7/4 - (1d)</t>
        </is>
      </c>
      <c r="H17" s="111" t="n"/>
      <c r="I17" s="112" t="n"/>
      <c r="J17" s="6" t="inlineStr">
        <is>
          <t>Mr Nitin Deoras/ Maya Jagdev</t>
        </is>
      </c>
      <c r="K17" s="7" t="n"/>
      <c r="L17" s="7" t="n"/>
      <c r="M17" s="8" t="n"/>
      <c r="N17" s="3" t="n"/>
      <c r="O17" s="3" t="n"/>
    </row>
    <row r="18" ht="83.5" customHeight="1" s="125">
      <c r="A18" s="28" t="inlineStr">
        <is>
          <t>B224-09</t>
        </is>
      </c>
      <c r="B18" s="3" t="inlineStr">
        <is>
          <t>PPU</t>
        </is>
      </c>
      <c r="C18" s="3" t="inlineStr">
        <is>
          <t>MEIL</t>
        </is>
      </c>
      <c r="D18" s="3" t="n"/>
      <c r="E18" s="9" t="n"/>
      <c r="F18" s="3">
        <f>8*2.5</f>
        <v/>
      </c>
      <c r="G18" s="9" t="inlineStr">
        <is>
          <t>Vertiv ACDB QAP-28/4 (0.5d);Motor- ABB Finland, Vertiv -ACDBs with Static switch - QAP appl - 4h; VSD- Hitachi,Korea; TPI doc. Rev. - 4hrs on 21 &amp; 4h on 28/4 (1d);Schneider 6.6kV QAP appl -2/4-(0.5d)</t>
        </is>
      </c>
      <c r="H18" s="111" t="n"/>
      <c r="I18" s="112" t="n"/>
      <c r="J18" s="6" t="inlineStr">
        <is>
          <t>Mr Navneet Mann / Mr Rakesh  Sharma /Mr S.K.Singh</t>
        </is>
      </c>
      <c r="K18" s="7" t="n"/>
      <c r="L18" s="7" t="n"/>
      <c r="M18" s="8" t="n"/>
      <c r="N18" s="3" t="n"/>
      <c r="O18" s="3" t="n"/>
    </row>
    <row r="19" ht="83.5" customHeight="1" s="125">
      <c r="A19" s="28" t="inlineStr">
        <is>
          <t>B224-10</t>
        </is>
      </c>
      <c r="B19" s="3" t="n"/>
      <c r="C19" s="3" t="inlineStr">
        <is>
          <t>MEIL</t>
        </is>
      </c>
      <c r="D19" s="3" t="n"/>
      <c r="E19" s="9" t="n"/>
      <c r="F19" s="3" t="n">
        <v>0</v>
      </c>
      <c r="G19" s="9" t="inlineStr">
        <is>
          <t xml:space="preserve"> </t>
        </is>
      </c>
      <c r="H19" s="111" t="n"/>
      <c r="I19" s="112" t="n"/>
      <c r="J19" s="6" t="n"/>
      <c r="K19" s="7" t="n"/>
      <c r="L19" s="7" t="n"/>
      <c r="M19" s="8" t="n"/>
      <c r="N19" s="3" t="n"/>
      <c r="O19" s="3" t="n"/>
    </row>
    <row r="20" hidden="1" ht="83.5" customHeight="1" s="125">
      <c r="A20" s="28" t="inlineStr">
        <is>
          <t>B229</t>
        </is>
      </c>
      <c r="B20" s="3" t="n">
        <v>3</v>
      </c>
      <c r="C20" s="3">
        <f>2*3+8</f>
        <v/>
      </c>
      <c r="D20" s="3" t="n"/>
      <c r="E20" s="9" t="n">
        <v>0</v>
      </c>
      <c r="F20" s="3">
        <f>SUM(C20:E20)</f>
        <v/>
      </c>
      <c r="G20" s="9" t="inlineStr">
        <is>
          <t xml:space="preserve">1order FD f/up +2 OCS </t>
        </is>
      </c>
      <c r="H20" s="111" t="n"/>
      <c r="I20" s="112" t="n"/>
      <c r="J20" s="6" t="inlineStr">
        <is>
          <t>Patra/JPS Kalra/DK Kesri</t>
        </is>
      </c>
      <c r="K20" s="7" t="n"/>
      <c r="L20" s="7" t="n"/>
      <c r="M20" s="8" t="n"/>
      <c r="N20" s="3" t="n"/>
      <c r="O20" s="3" t="n"/>
      <c r="Q20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21" ht="83.5" customHeight="1" s="125">
      <c r="A21" s="28" t="inlineStr">
        <is>
          <t>B269</t>
        </is>
      </c>
      <c r="B21" s="3" t="n">
        <v>16</v>
      </c>
      <c r="C21" s="3">
        <f>2*16+4*2</f>
        <v/>
      </c>
      <c r="D21" s="3">
        <f>8*8</f>
        <v/>
      </c>
      <c r="E21" s="9" t="n">
        <v>0</v>
      </c>
      <c r="F21" s="3">
        <f>SUM(C21:E21)</f>
        <v/>
      </c>
      <c r="G21" s="9" t="inlineStr">
        <is>
          <t>11 running orders+ 3Orders FD sub expediting+2OCS; Critical Item Insp - YIL- RHCU FAT- 5d (28/4-2/5-(5d); FF Doc Rev/IRN endor - 26/4(1d);YIL -B269/1408 -Shelter-11/4(1d); Mtg with ABB at Office for review of orders - 10/4 (8h)</t>
        </is>
      </c>
      <c r="H21" s="111" t="n"/>
      <c r="I21" s="112" t="n"/>
      <c r="J21" s="6" t="inlineStr">
        <is>
          <t>Chandrashekhar/Rajesh Bhatla/Arun Singh Arya/Sanjay Chaudhary</t>
        </is>
      </c>
      <c r="K21" s="7" t="n"/>
      <c r="L21" s="7" t="n"/>
      <c r="M21" s="8" t="n"/>
      <c r="N21" s="3" t="n">
        <v>0</v>
      </c>
      <c r="O21" s="3" t="n"/>
      <c r="Q21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</t>
        </is>
      </c>
    </row>
    <row r="22" hidden="1" ht="51.5" customHeight="1" s="125">
      <c r="A22" s="28" t="inlineStr">
        <is>
          <t>B285</t>
        </is>
      </c>
      <c r="B22" s="3" t="n"/>
      <c r="C22" s="3" t="n"/>
      <c r="D22" s="3" t="n"/>
      <c r="E22" s="9" t="n"/>
      <c r="F22" s="3" t="inlineStr">
        <is>
          <t xml:space="preserve"> </t>
        </is>
      </c>
      <c r="G22" s="9" t="inlineStr">
        <is>
          <t xml:space="preserve"> </t>
        </is>
      </c>
      <c r="H22" s="111" t="n"/>
      <c r="I22" s="112" t="n"/>
      <c r="J22" s="6" t="inlineStr">
        <is>
          <t>Sanjeev Kumar/Vikalp Paliwal</t>
        </is>
      </c>
      <c r="K22" s="7" t="n"/>
      <c r="L22" s="7" t="n"/>
      <c r="M22" s="8" t="n"/>
      <c r="N22" s="3" t="n"/>
      <c r="O22" s="3" t="n"/>
    </row>
    <row r="23" ht="112" customHeight="1" s="125">
      <c r="A23" s="28" t="inlineStr">
        <is>
          <t>B297</t>
        </is>
      </c>
      <c r="B23" s="3" t="n">
        <v>7</v>
      </c>
      <c r="C23" s="3">
        <f>7*2+4</f>
        <v/>
      </c>
      <c r="D23" s="3" t="n">
        <v>8</v>
      </c>
      <c r="E23" s="9" t="n">
        <v>0</v>
      </c>
      <c r="F23" s="3">
        <f>SUM(C23:E23)</f>
        <v/>
      </c>
      <c r="G23" s="9" t="inlineStr">
        <is>
          <t>Exp-6 ord-4 runn ord, 2-FD sub; 1OCS; Insp: B297/301 (4/4 - 1d)</t>
        </is>
      </c>
      <c r="H23" s="111" t="n"/>
      <c r="I23" s="112" t="n"/>
      <c r="J23" s="6" t="inlineStr">
        <is>
          <t>Chandrashekar/NS Vasudev/Manish Tiwari - GAIL Pata</t>
        </is>
      </c>
      <c r="K23" s="7" t="n"/>
      <c r="L23" s="7" t="n"/>
      <c r="M23" s="8" t="n"/>
      <c r="N23" s="3" t="n">
        <v>10</v>
      </c>
      <c r="O23" s="3" t="n"/>
      <c r="Q23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24" ht="83.5" customHeight="1" s="125">
      <c r="A24" s="28" t="inlineStr">
        <is>
          <t>B302</t>
        </is>
      </c>
      <c r="B24" s="3" t="n">
        <v>4</v>
      </c>
      <c r="C24" s="3">
        <f>2*4+4*2</f>
        <v/>
      </c>
      <c r="D24" s="3" t="n">
        <v>0</v>
      </c>
      <c r="E24" s="9" t="n">
        <v>16</v>
      </c>
      <c r="F24" s="3">
        <f>SUM(C24:E24)</f>
        <v/>
      </c>
      <c r="G24" s="9" t="inlineStr">
        <is>
          <t>4 Running orders ; Shirdi Sai -Online mtg/QAP appls, KOM for Turnkey Inst. Job - YIL</t>
        </is>
      </c>
      <c r="H24" s="111" t="n"/>
      <c r="I24" s="112" t="n"/>
      <c r="J24" s="6" t="inlineStr">
        <is>
          <t>Suresh/D Jana(302-1)/Sivakumar(302-2)/Abhishek Rai/Balbir Singh (01-P/L &amp; 02- COT) - pump order - 02; FOA also to incl. Unit no for correlation</t>
        </is>
      </c>
      <c r="K24" s="7" t="n"/>
      <c r="L24" s="7" t="n"/>
      <c r="M24" s="8" t="n"/>
      <c r="N24" s="3" t="n"/>
      <c r="O24" s="3" t="n"/>
      <c r="Q24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25" hidden="1" ht="83.5" customHeight="1" s="125">
      <c r="A25" s="28" t="inlineStr">
        <is>
          <t>B348</t>
        </is>
      </c>
      <c r="B25" s="3" t="n">
        <v>14</v>
      </c>
      <c r="C25" s="3">
        <f>2*B25+2*2</f>
        <v/>
      </c>
      <c r="D25" s="3" t="n">
        <v>0</v>
      </c>
      <c r="E25" s="9" t="n">
        <v>0</v>
      </c>
      <c r="F25" s="3">
        <f>SUM(C25:E25)</f>
        <v/>
      </c>
      <c r="G25" s="9" t="inlineStr">
        <is>
          <t>12 Running orders +2 ord FD exp</t>
        </is>
      </c>
      <c r="H25" s="111" t="n"/>
      <c r="I25" s="112" t="n"/>
      <c r="J25" s="6" t="inlineStr">
        <is>
          <t>Himangshu/Sanjeev Kumar/Lavish/HarshVardhan</t>
        </is>
      </c>
      <c r="K25" s="7" t="n"/>
      <c r="L25" s="7" t="n"/>
      <c r="M25" s="8" t="n"/>
      <c r="N25" s="3" t="n">
        <v>1</v>
      </c>
      <c r="O25" s="3" t="n"/>
      <c r="Q25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15/4[162];22h rel on 4/7/25 for Apr &amp; May [184]</t>
        </is>
      </c>
    </row>
    <row r="26" hidden="1" ht="118" customHeight="1" s="125">
      <c r="A26" s="28" t="inlineStr">
        <is>
          <t>B378</t>
        </is>
      </c>
      <c r="B26" s="3" t="n">
        <v>22</v>
      </c>
      <c r="C26" s="3">
        <f>2*B26+2*4</f>
        <v/>
      </c>
      <c r="D26" s="3">
        <f>8*10</f>
        <v/>
      </c>
      <c r="E26" s="9">
        <f>8*4</f>
        <v/>
      </c>
      <c r="F26" s="3">
        <f>SUM(C26:E26)</f>
        <v/>
      </c>
      <c r="G26" s="9" t="inlineStr">
        <is>
          <t xml:space="preserve"> 20 ord Expediting(incl  4ord FD sub exp)+ 2OCS; Inspn: YIL(706)-11/4(1d); (631)-27/4 (1d);Microfinish(611)-30/4 (1d);PO 569 - 23to25/4 (3d);Schneider -PO 725-22-25 (4d);Mtg. with YIL for resolving o/s Hold-ups in FAT &amp; procurement resply;Meeting/rev. of Cryo Test procedure &amp; expediting of o/s issues; Rev. Mtg. @ Kequip Global alongwith Client (28/4-1d);Mtg with ABB at Office for review of orders - 10/4 (8h)</t>
        </is>
      </c>
      <c r="H26" s="111" t="n"/>
      <c r="I26" s="112" t="n"/>
      <c r="J26" s="6" t="inlineStr">
        <is>
          <t>Chandrashekhar/Sumanta Mondal/Ajay Gupta/Rajeev Kr Khandelwal/Prakash Jagarwal/Deepak Dinkar -GAIL Usar</t>
        </is>
      </c>
      <c r="K26" s="7" t="n"/>
      <c r="L26" s="7" t="n"/>
      <c r="M26" s="8" t="n"/>
      <c r="N26" s="3" t="n">
        <v>0</v>
      </c>
      <c r="O26" s="3" t="n"/>
      <c r="Q26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15/4[4009];160mh rel on 20/5[4168]</t>
        </is>
      </c>
    </row>
    <row r="27" hidden="1" ht="83.5" customHeight="1" s="125">
      <c r="A27" s="29" t="inlineStr">
        <is>
          <t>B359</t>
        </is>
      </c>
      <c r="B27" s="3" t="n"/>
      <c r="C27" s="3" t="n"/>
      <c r="D27" s="3" t="n">
        <v>0</v>
      </c>
      <c r="E27" s="9" t="n">
        <v>0</v>
      </c>
      <c r="F27" s="3">
        <f>SUM(C27:E27)</f>
        <v/>
      </c>
      <c r="G27" s="9" t="inlineStr">
        <is>
          <t xml:space="preserve"> </t>
        </is>
      </c>
      <c r="H27" s="111" t="n"/>
      <c r="I27" s="112" t="n"/>
      <c r="J27" s="6" t="inlineStr">
        <is>
          <t>Chandrashekhar/Sumanta Mondal/Abhishek/Sarvesh Kumar</t>
        </is>
      </c>
      <c r="K27" s="7" t="n"/>
      <c r="L27" s="7" t="n"/>
      <c r="M27" s="8" t="n"/>
      <c r="N27" s="3" t="n"/>
      <c r="O27" s="3" t="n"/>
      <c r="Q27" t="inlineStr">
        <is>
          <t>24h relsd on 30/3/22;24h relsd on 2/8/2216mh rel on 5/3/25[232]</t>
        </is>
      </c>
    </row>
    <row r="28" ht="83.5" customHeight="1" s="125">
      <c r="A28" s="28" t="inlineStr">
        <is>
          <t>B414</t>
        </is>
      </c>
      <c r="B28" s="3" t="n">
        <v>5</v>
      </c>
      <c r="C28" s="3">
        <f>2*B28+1*4</f>
        <v/>
      </c>
      <c r="D28" s="3">
        <f>8*6.5</f>
        <v/>
      </c>
      <c r="E28" s="9" t="n">
        <v>0</v>
      </c>
      <c r="F28" s="3">
        <f>SUM(C28:E28)</f>
        <v/>
      </c>
      <c r="G28" s="9" t="inlineStr">
        <is>
          <t>5 orders ( incl. 3Running orders &amp; 1FD expediting&amp; 1OCS); Insp: Schneider - Sw Bds - B414/55- 22-25/4 (4d);Pace process 5 QAP appls.-12,14/4 (1d), 27,28/4(1.5d);</t>
        </is>
      </c>
      <c r="H28" s="111" t="n"/>
      <c r="I28" s="112" t="n"/>
      <c r="J28" s="6" t="inlineStr">
        <is>
          <t>Himangshu Pal/ Shnaoli Nath</t>
        </is>
      </c>
      <c r="K28" s="7" t="n"/>
      <c r="L28" s="7" t="n"/>
      <c r="M28" s="8" t="n"/>
      <c r="N28" s="3" t="n"/>
      <c r="O28" s="3" t="n"/>
      <c r="Q28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9" hidden="1" ht="83.5" customHeight="1" s="125">
      <c r="A29" s="28" t="inlineStr">
        <is>
          <t>B436</t>
        </is>
      </c>
      <c r="B29" s="3" t="n">
        <v>1</v>
      </c>
      <c r="C29" s="3" t="n">
        <v>2</v>
      </c>
      <c r="D29" s="3" t="n">
        <v>0</v>
      </c>
      <c r="E29" s="9" t="n">
        <v>0</v>
      </c>
      <c r="F29" s="3">
        <f>SUM(C29:E29)</f>
        <v/>
      </c>
      <c r="G29" s="9" t="inlineStr">
        <is>
          <t xml:space="preserve">SCADA order on ABB </t>
        </is>
      </c>
      <c r="H29" s="111" t="n"/>
      <c r="I29" s="112" t="n"/>
      <c r="J29" s="6" t="inlineStr">
        <is>
          <t>T Ravi/Sangram Mishra/NS Vasudev</t>
        </is>
      </c>
      <c r="K29" s="7" t="n"/>
      <c r="L29" s="7" t="n"/>
      <c r="M29" s="8" t="n"/>
      <c r="N29" s="3" t="n"/>
      <c r="O29" s="3" t="n"/>
      <c r="P29" t="inlineStr">
        <is>
          <t>10h rel on 22/5;26h rel on 12/10[38];12 mh rel on 20/5[50]</t>
        </is>
      </c>
    </row>
    <row r="30" hidden="1" ht="121.5" customHeight="1" s="125">
      <c r="A30" s="28" t="inlineStr">
        <is>
          <t>B440</t>
        </is>
      </c>
      <c r="B30" s="3" t="n">
        <v>15</v>
      </c>
      <c r="C30" s="3">
        <f>2*B30 + 1*4</f>
        <v/>
      </c>
      <c r="D30" s="3">
        <f>8*0.5</f>
        <v/>
      </c>
      <c r="E30" s="9" t="n">
        <v>0</v>
      </c>
      <c r="F30" s="3">
        <f>SUM(C30:E30)</f>
        <v/>
      </c>
      <c r="G30" s="9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1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</t>
        </is>
      </c>
      <c r="H30" s="111" t="n"/>
      <c r="I30" s="112" t="n"/>
      <c r="J30" s="6" t="inlineStr">
        <is>
          <t>Himangshu Pal/Sanjeev Kumar/Ayush Mathur/Shivaji/VVR Murthy</t>
        </is>
      </c>
      <c r="K30" s="7" t="n"/>
      <c r="L30" s="7" t="n"/>
      <c r="M30" s="8" t="n"/>
      <c r="N30" s="3" t="n"/>
      <c r="O30" s="3" t="n"/>
      <c r="P30" t="inlineStr">
        <is>
          <t>24h rel. on 5/10;4h rel on 29/2 [56]8h rel on 5/4[64];12h rel on 17/8[90];20h rel on 17/9[110];:16h rel on 10/10[127];18h rel pn 18/11[145]; 30h rel on 26/12[175];20h rel on 10/2[195] ; 35h rel on 21/4[230];15mh rel on 24/5[245]</t>
        </is>
      </c>
    </row>
    <row r="31" hidden="1" ht="83.5" customHeight="1" s="125">
      <c r="A31" s="28" t="inlineStr">
        <is>
          <t>B448</t>
        </is>
      </c>
      <c r="B31" s="3" t="n">
        <v>1</v>
      </c>
      <c r="C31" s="3" t="n">
        <v>0</v>
      </c>
      <c r="D31" s="3">
        <f>8*4</f>
        <v/>
      </c>
      <c r="E31" s="9">
        <f>8*0.5</f>
        <v/>
      </c>
      <c r="F31" s="3">
        <f>SUM(C31:E31)</f>
        <v/>
      </c>
      <c r="G31" s="9" t="inlineStr">
        <is>
          <t xml:space="preserve"> Insp. &amp; exp. Of Direct ordered items; For LSTK, insp@ payment on manday item rate;resolution of queries on insp from bid till compln. Of pjt;expediting, if reqd. by Owner - Plant Automation tender on ABB - Plant Automation QAP rev. 28/4(0.5d); Inspn: Kalpataru/Schneider - 22-25/4 (4d); </t>
        </is>
      </c>
      <c r="H31" s="111" t="n"/>
      <c r="I31" s="112" t="n"/>
      <c r="J31" s="6" t="inlineStr">
        <is>
          <t>Himangshu Pal/Sanjeev Kumar/UK Mishra/NS Vasudev</t>
        </is>
      </c>
      <c r="K31" s="7" t="n"/>
      <c r="L31" s="7" t="n"/>
      <c r="M31" s="8" t="n"/>
      <c r="N31" s="3" t="n"/>
      <c r="O31" s="3" t="n"/>
      <c r="Q31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21/4[192];60h rel on 8/7[252]</t>
        </is>
      </c>
    </row>
    <row r="32" hidden="1" ht="83.5" customHeight="1" s="125">
      <c r="A32" s="29" t="inlineStr">
        <is>
          <t>B519</t>
        </is>
      </c>
      <c r="B32" s="3" t="n">
        <v>3</v>
      </c>
      <c r="C32" s="3">
        <f>2*B32+1*4</f>
        <v/>
      </c>
      <c r="D32" s="3" t="n">
        <v>0</v>
      </c>
      <c r="E32" s="9" t="n">
        <v>0</v>
      </c>
      <c r="F32" s="3">
        <f>SUM(C32:E32)</f>
        <v/>
      </c>
      <c r="G32" s="9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</t>
        </is>
      </c>
      <c r="H32" s="111" t="n"/>
      <c r="I32" s="112" t="n"/>
      <c r="J32" s="6" t="inlineStr">
        <is>
          <t>Chandrashekhar/HarshVardan/Prakash Jagarwal/DSNMurty</t>
        </is>
      </c>
      <c r="K32" s="7" t="n"/>
      <c r="L32" s="7" t="n"/>
      <c r="M32" s="8" t="n"/>
      <c r="N32" s="3" t="n"/>
      <c r="O32" s="3" t="n"/>
    </row>
    <row r="33" hidden="1" ht="83.5" customHeight="1" s="125">
      <c r="A33" s="28" t="inlineStr">
        <is>
          <t>B560</t>
        </is>
      </c>
      <c r="B33" s="3" t="n">
        <v>14</v>
      </c>
      <c r="C33" s="3">
        <f>2*B33</f>
        <v/>
      </c>
      <c r="D33" s="3" t="n"/>
      <c r="E33" s="9" t="n">
        <v>8</v>
      </c>
      <c r="F33" s="3">
        <f>SUM(C33:E33)</f>
        <v/>
      </c>
      <c r="G33" s="9" t="inlineStr">
        <is>
          <t>Req.from ED(I) for expediting on 15/6 - 14 orders (incl.3 FD exp &amp; OCS for 7 earlier orders) &amp; OCS also to be made as per latest reqt.; Rev. Mtg @ MF alongwith Client - 30/4(1d)</t>
        </is>
      </c>
      <c r="H33" s="111" t="n"/>
      <c r="I33" s="112" t="n"/>
      <c r="J33" s="6" t="inlineStr">
        <is>
          <t>Chandrashekhar/Vinod Kumar/RK Medhavi</t>
        </is>
      </c>
      <c r="K33" s="7" t="n"/>
      <c r="L33" s="7" t="n"/>
      <c r="M33" s="8" t="n"/>
      <c r="N33" s="3" t="n"/>
      <c r="O33" s="3" t="n"/>
      <c r="P33" t="inlineStr">
        <is>
          <t>100h rel on 23/4</t>
        </is>
      </c>
    </row>
    <row r="34" hidden="1" ht="83.5" customHeight="1" s="125">
      <c r="A34" s="28" t="inlineStr">
        <is>
          <t>B548</t>
        </is>
      </c>
      <c r="B34" s="3" t="n">
        <v>0</v>
      </c>
      <c r="C34" s="3" t="n">
        <v>0</v>
      </c>
      <c r="D34" s="3" t="n">
        <v>0</v>
      </c>
      <c r="E34" s="9" t="n">
        <v>0</v>
      </c>
      <c r="F34" s="3">
        <f>SUM(C34:E34)</f>
        <v/>
      </c>
      <c r="G34" s="9" t="inlineStr">
        <is>
          <t>Alleima- Exchanger - Exp+QAP comments - ITP R1- rev-6/2; Control Panel ITP rev- 7/2; FAT of TCP rev-12/2; Mtg/communications for resolution of issue w.r.t Heating Element MOC - 6,9/2; Nov: 1 OCS + Insp. - Emerson S/o on Microfinish - 27/11 &amp; 20/12</t>
        </is>
      </c>
      <c r="H34" s="111" t="n"/>
      <c r="I34" s="112" t="n"/>
      <c r="J34" s="6" t="inlineStr">
        <is>
          <t>HP/Sanjeev Kr/T Ravi/NS Vasudev/Sanjeev Kr Gupta</t>
        </is>
      </c>
      <c r="K34" s="7" t="n"/>
      <c r="L34" s="7" t="n"/>
      <c r="M34" s="8" t="n"/>
      <c r="N34" s="3" t="n"/>
      <c r="O34" s="3" t="n"/>
      <c r="P34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35" hidden="1" ht="44" customHeight="1" s="125">
      <c r="A35" s="28" t="inlineStr">
        <is>
          <t>B589</t>
        </is>
      </c>
      <c r="B35" s="3" t="n">
        <v>0</v>
      </c>
      <c r="C35" s="3" t="n">
        <v>0</v>
      </c>
      <c r="D35" s="3" t="n">
        <v>0</v>
      </c>
      <c r="E35" s="9" t="n">
        <v>0</v>
      </c>
      <c r="F35" s="3" t="n">
        <v>0</v>
      </c>
      <c r="G35" s="9" t="inlineStr">
        <is>
          <t>1 Ord on FS - expediting FD</t>
        </is>
      </c>
      <c r="H35" s="111" t="n"/>
      <c r="I35" s="112" t="n"/>
      <c r="J35" s="6" t="inlineStr">
        <is>
          <t>Himangshu Pal/Sanjeev Kr/T Ravi/NS Vasudev/Sanjeev Kr Gupta</t>
        </is>
      </c>
      <c r="K35" s="7" t="n"/>
      <c r="L35" s="7" t="n"/>
      <c r="M35" s="8" t="n"/>
      <c r="N35" s="3" t="n"/>
      <c r="O35" s="3" t="n"/>
      <c r="P35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6" hidden="1" ht="83.5" customHeight="1" s="125">
      <c r="A36" s="28" t="inlineStr">
        <is>
          <t>B559</t>
        </is>
      </c>
      <c r="B36" s="3" t="n">
        <v>4</v>
      </c>
      <c r="C36" s="3">
        <f>2*B36</f>
        <v/>
      </c>
      <c r="D36" s="3" t="n">
        <v>0</v>
      </c>
      <c r="E36" s="9" t="n">
        <v>0</v>
      </c>
      <c r="F36" s="3">
        <f>SUM(C36:E36)</f>
        <v/>
      </c>
      <c r="G36" s="9" t="inlineStr">
        <is>
          <t>4 orders expediting</t>
        </is>
      </c>
      <c r="H36" s="111" t="n"/>
      <c r="I36" s="112" t="n"/>
      <c r="J36" s="6" t="inlineStr">
        <is>
          <t xml:space="preserve">Sanjay Choudhary/SK Gayen/RK Gupta </t>
        </is>
      </c>
      <c r="K36" s="7" t="n"/>
      <c r="L36" s="7" t="n"/>
      <c r="M36" s="8" t="n"/>
      <c r="N36" s="3" t="n"/>
      <c r="O36" s="3" t="n"/>
      <c r="P36" t="inlineStr">
        <is>
          <t>86h rel on 13/3 [86];104h rel on 1/4[190]; 72 sought for Apr- 160 issued considering upcoming Chiller insp (88h extra avl. For May'24[350]-20h rel on 29/5[370];60mh rel on 1/7[386];20mh rel on 1/8[406];16h rel on 25/10[422]</t>
        </is>
      </c>
    </row>
    <row r="37" hidden="1" ht="83.5" customHeight="1" s="125">
      <c r="A37" s="28" t="inlineStr">
        <is>
          <t>B650</t>
        </is>
      </c>
      <c r="B37" s="3" t="n">
        <v>1</v>
      </c>
      <c r="C37" s="3" t="n">
        <v>2</v>
      </c>
      <c r="D37" s="3" t="n"/>
      <c r="E37" s="9" t="n"/>
      <c r="F37" s="3" t="n"/>
      <c r="G37" s="9" t="inlineStr">
        <is>
          <t>No scope for RPO - however, OCS to be done</t>
        </is>
      </c>
      <c r="H37" s="111" t="n"/>
      <c r="I37" s="112" t="n"/>
      <c r="J37" s="6" t="inlineStr">
        <is>
          <t>Chandrashekhar</t>
        </is>
      </c>
      <c r="K37" s="7" t="n"/>
      <c r="L37" s="7" t="n"/>
      <c r="M37" s="8" t="n"/>
      <c r="N37" s="3" t="n"/>
      <c r="O37" s="3" t="n"/>
    </row>
    <row r="38" hidden="1" ht="83.5" customHeight="1" s="125">
      <c r="A38" s="28" t="inlineStr">
        <is>
          <t>B653</t>
        </is>
      </c>
      <c r="B38" s="3" t="n">
        <v>14</v>
      </c>
      <c r="C38" s="3">
        <f>2*B38+1*4</f>
        <v/>
      </c>
      <c r="D38" s="3" t="n"/>
      <c r="E38" s="9" t="n">
        <v>8</v>
      </c>
      <c r="F38" s="3">
        <f>SUM(C38:E38)</f>
        <v/>
      </c>
      <c r="G38" s="9" t="inlineStr">
        <is>
          <t>Expediting by RPOs as per email dtd 22/10/24, OCS by RPO as per CS mail dt 17/1; (13 running ord+1OCS);Univ Insts -Rev. mtg &amp; Show Cause Notice issue reco. -8h</t>
        </is>
      </c>
      <c r="H38" s="111" t="n"/>
      <c r="I38" s="112" t="n"/>
      <c r="J38" s="6" t="inlineStr">
        <is>
          <t>Sanjeev Kumar/Aasheesh Handa/Amandeep Kaur</t>
        </is>
      </c>
      <c r="K38" s="7" t="n"/>
      <c r="L38" s="7" t="n"/>
      <c r="M38" s="8" t="n"/>
      <c r="N38" s="3" t="n"/>
      <c r="O38" s="3" t="n"/>
      <c r="P38" t="inlineStr">
        <is>
          <t>40h rel on 9/4/24 [40]</t>
        </is>
      </c>
    </row>
    <row r="39" hidden="1" ht="83.5" customHeight="1" s="125">
      <c r="A39" s="29" t="inlineStr">
        <is>
          <t>B725</t>
        </is>
      </c>
      <c r="B39" s="3" t="n">
        <v>3</v>
      </c>
      <c r="C39" s="3" t="n"/>
      <c r="D39" s="3">
        <f>8*0.5</f>
        <v/>
      </c>
      <c r="E39" s="9" t="n">
        <v>0</v>
      </c>
      <c r="F39" s="3">
        <f>SUM(C39:E39)</f>
        <v/>
      </c>
      <c r="G39" s="9" t="inlineStr">
        <is>
          <t>No expediting; Flowserve-rev. of Test Repts -11/4(0.5d)</t>
        </is>
      </c>
      <c r="H39" s="111" t="n"/>
      <c r="I39" s="112" t="n"/>
      <c r="J39" s="6" t="inlineStr">
        <is>
          <t>Himangshu/Sanjeev Kumar- Scope: Rev. of ITP,Insp Docs &amp; FD</t>
        </is>
      </c>
      <c r="K39" s="7" t="n"/>
      <c r="L39" s="7" t="n"/>
      <c r="M39" s="8" t="n"/>
      <c r="N39" s="3" t="n"/>
      <c r="O39" s="3" t="n"/>
      <c r="P39" t="inlineStr">
        <is>
          <t>4h sought by BT on 27/5 to Sanjeev Kr</t>
        </is>
      </c>
    </row>
    <row r="40" hidden="1" ht="83.5" customHeight="1" s="125">
      <c r="A40" s="29" t="inlineStr">
        <is>
          <t>B795</t>
        </is>
      </c>
      <c r="B40" s="3" t="n"/>
      <c r="C40" s="3" t="n"/>
      <c r="D40" s="3" t="n">
        <v>0</v>
      </c>
      <c r="E40" s="9" t="n"/>
      <c r="F40" s="3">
        <f>SUM(C40:E40)</f>
        <v/>
      </c>
      <c r="G40" s="9" t="n"/>
      <c r="H40" s="111" t="n"/>
      <c r="I40" s="112" t="n"/>
      <c r="J40" s="6" t="inlineStr">
        <is>
          <t>G Suresh/Patra/Uday Pratap/Rajeev Chak/NS Vasudev</t>
        </is>
      </c>
      <c r="K40" s="7" t="n"/>
      <c r="L40" s="7" t="n"/>
      <c r="M40" s="8" t="n"/>
      <c r="N40" s="3" t="n"/>
      <c r="O40" s="3" t="n"/>
      <c r="P40" t="inlineStr">
        <is>
          <t>32h rels. On 12/9;64h on 16/1; addl 100h rel on 20/1 [276]</t>
        </is>
      </c>
    </row>
    <row r="41" hidden="1" ht="83.5" customHeight="1" s="125">
      <c r="A41" s="29" t="inlineStr">
        <is>
          <t>B767</t>
        </is>
      </c>
      <c r="B41" s="3" t="n"/>
      <c r="C41" s="3" t="n"/>
      <c r="D41" s="3" t="n">
        <v>0</v>
      </c>
      <c r="E41" s="9" t="n">
        <v>8</v>
      </c>
      <c r="F41" s="3">
        <f>SUM(C41:E41)</f>
        <v/>
      </c>
      <c r="G41" s="9" t="inlineStr">
        <is>
          <t>Rev. of Methodology - 8h</t>
        </is>
      </c>
      <c r="H41" s="111" t="n"/>
      <c r="I41" s="112" t="n"/>
      <c r="J41" s="6" t="inlineStr">
        <is>
          <t>Himangshu Pal/Vikalp Paliwal/Balakumar</t>
        </is>
      </c>
      <c r="K41" s="7" t="n"/>
      <c r="L41" s="7" t="n"/>
      <c r="M41" s="8" t="n"/>
      <c r="N41" s="3" t="n"/>
      <c r="O41" s="3" t="n"/>
      <c r="P41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42" hidden="1" ht="83.5" customHeight="1" s="125">
      <c r="A42" s="29" t="inlineStr">
        <is>
          <t>B862</t>
        </is>
      </c>
      <c r="B42" s="3" t="n"/>
      <c r="C42" s="3" t="n"/>
      <c r="D42" s="3" t="n"/>
      <c r="E42" s="9" t="n"/>
      <c r="F42" s="3" t="n"/>
      <c r="G42" s="101" t="n"/>
      <c r="H42" s="116" t="n"/>
      <c r="I42" s="117" t="n"/>
      <c r="J42" s="9" t="inlineStr">
        <is>
          <t>Himangshu Pal/Sanjeev Kumar/Rajeev Khandelwal IOM 10/7/24 from Mr Rajeev Khandelwal on level wise breakup of MH to be booked - to be followed while seeking MH.</t>
        </is>
      </c>
      <c r="K42" s="111" t="n"/>
      <c r="L42" s="112" t="n"/>
      <c r="M42" s="8" t="inlineStr">
        <is>
          <t>PLL</t>
        </is>
      </c>
      <c r="N42" s="3" t="n"/>
      <c r="O42" s="3" t="n"/>
    </row>
    <row r="43" hidden="1" ht="83.5" customHeight="1" s="125">
      <c r="A43" s="29" t="inlineStr">
        <is>
          <t>B865</t>
        </is>
      </c>
      <c r="B43" s="3" t="n"/>
      <c r="C43" s="3" t="n"/>
      <c r="D43" s="3" t="n"/>
      <c r="E43" s="9" t="n"/>
      <c r="F43" s="3" t="n"/>
      <c r="G43" s="9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H43" s="111" t="n"/>
      <c r="I43" s="112" t="n"/>
      <c r="J43" s="6" t="inlineStr">
        <is>
          <t>Avdesh Agrawal</t>
        </is>
      </c>
      <c r="K43" s="116" t="n"/>
      <c r="L43" s="116" t="n"/>
      <c r="M43" s="8" t="inlineStr">
        <is>
          <t>HPCL Petchem Mktg Terminal</t>
        </is>
      </c>
      <c r="N43" s="3" t="n"/>
      <c r="O43" s="3" t="n"/>
    </row>
    <row r="44" hidden="1" ht="83.5" customHeight="1" s="125">
      <c r="A44" s="29" t="inlineStr">
        <is>
          <t>B903</t>
        </is>
      </c>
      <c r="B44" s="3" t="n">
        <v>2</v>
      </c>
      <c r="C44" s="3">
        <f>2*2</f>
        <v/>
      </c>
      <c r="D44" s="3" t="n"/>
      <c r="E44" s="9" t="n"/>
      <c r="F44" s="3">
        <f>SUM(C44:E44)</f>
        <v/>
      </c>
      <c r="G44" s="101" t="n"/>
      <c r="H44" s="102" t="n"/>
      <c r="I44" s="103" t="n"/>
      <c r="J44" s="6" t="inlineStr">
        <is>
          <t>Sanjeev Kumar</t>
        </is>
      </c>
      <c r="K44" s="116" t="n"/>
      <c r="L44" s="116" t="n"/>
      <c r="M44" s="8" t="n"/>
      <c r="N44" s="3" t="n"/>
      <c r="O44" s="3" t="n"/>
    </row>
    <row r="45" hidden="1" ht="83.5" customHeight="1" s="125">
      <c r="A45" s="29" t="inlineStr">
        <is>
          <t>B904</t>
        </is>
      </c>
      <c r="B45" s="3" t="n">
        <v>1</v>
      </c>
      <c r="C45" s="3">
        <f>2*1</f>
        <v/>
      </c>
      <c r="D45" s="3" t="n"/>
      <c r="E45" s="9" t="n"/>
      <c r="F45" s="3">
        <f>SUM(C45:E45)</f>
        <v/>
      </c>
      <c r="G45" s="9" t="n"/>
      <c r="H45" s="111" t="n"/>
      <c r="I45" s="112" t="n"/>
      <c r="J45" s="6" t="inlineStr">
        <is>
          <t>Sanjeev Kumar</t>
        </is>
      </c>
      <c r="K45" s="7" t="n"/>
      <c r="L45" s="7" t="n"/>
      <c r="M45" s="8" t="n"/>
      <c r="N45" s="3" t="n"/>
      <c r="O45" s="3" t="inlineStr">
        <is>
          <t>Proj. prof. n.avl.</t>
        </is>
      </c>
    </row>
    <row r="46" hidden="1" ht="83.5" customHeight="1" s="125">
      <c r="A46" s="29" t="n">
        <v>7716</v>
      </c>
      <c r="B46" s="3" t="n"/>
      <c r="C46" s="3" t="n"/>
      <c r="D46" s="3" t="n">
        <v>0</v>
      </c>
      <c r="E46" s="9">
        <f>8*1.5</f>
        <v/>
      </c>
      <c r="F46" s="3">
        <f>SUM(C46:E46)</f>
        <v/>
      </c>
      <c r="G46" s="9" t="inlineStr">
        <is>
          <t xml:space="preserve"> Godrej/Climaveneta -VC on 7/4 (0.5d); Compliance review on 15 &amp; 17/4 - (1d)</t>
        </is>
      </c>
      <c r="H46" s="111" t="n"/>
      <c r="I46" s="112" t="n"/>
      <c r="J46" s="6" t="inlineStr">
        <is>
          <t>Sanjeev Kumar/ Yatendra Agrawal - EIB Renovation</t>
        </is>
      </c>
      <c r="K46" s="116" t="n"/>
      <c r="L46" s="116" t="n"/>
      <c r="M46" s="8" t="n"/>
      <c r="N46" s="3" t="n"/>
      <c r="O46" s="3" t="n"/>
      <c r="P46" t="inlineStr">
        <is>
          <t>16h rel on 9/4 against Climaveneta order referred in 8590 above [28]</t>
        </is>
      </c>
    </row>
    <row r="47" hidden="1" ht="123" customHeight="1" s="125">
      <c r="A47" s="29" t="inlineStr">
        <is>
          <t>8518-02</t>
        </is>
      </c>
      <c r="B47" s="3" t="n">
        <v>0</v>
      </c>
      <c r="C47" s="3" t="n">
        <v>0</v>
      </c>
      <c r="D47" s="3" t="n">
        <v>0</v>
      </c>
      <c r="E47" s="9" t="n"/>
      <c r="F47" s="3" t="n">
        <v>200</v>
      </c>
      <c r="G47" s="9" t="inlineStr">
        <is>
          <t>Admin works,Insp Guidelines/Typ Test review/ITP revision(E&amp;I ITPS)/Std. Spec review-mtgs with Inst. Engg. on Cryo Test Procedure &amp; Flow Meter MR improvements,other miscellaneous works incl. Dept Mtg, Office enhancement efforts,Short Term Contracts, New Facility Mgmt Tender requirements freeze etc.,Mktg leads, Hosp Nomination;</t>
        </is>
      </c>
      <c r="H47" s="111" t="n"/>
      <c r="I47" s="112" t="n"/>
      <c r="J47" s="6" t="inlineStr">
        <is>
          <t xml:space="preserve"> Tech Develop &amp; OH</t>
        </is>
      </c>
      <c r="K47" s="7" t="n"/>
      <c r="L47" s="7" t="n"/>
      <c r="M47" s="8" t="n"/>
      <c r="N47" s="3" t="n">
        <v>300</v>
      </c>
      <c r="O47" s="3" t="n"/>
      <c r="Q4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</t>
        </is>
      </c>
    </row>
    <row r="48" hidden="1" ht="123" customHeight="1" s="125">
      <c r="A48" s="3" t="n">
        <v>8590</v>
      </c>
      <c r="B48" s="3" t="n"/>
      <c r="C48" s="3" t="n"/>
      <c r="D48" s="3" t="n">
        <v>0</v>
      </c>
      <c r="E48" s="9" t="n"/>
      <c r="F48" s="3">
        <f>SUM(C48:E48)</f>
        <v/>
      </c>
      <c r="G48" s="9" t="n"/>
      <c r="H48" s="111" t="n"/>
      <c r="I48" s="112" t="n"/>
      <c r="J48" s="6" t="n"/>
      <c r="K48" s="7" t="n"/>
      <c r="L48" s="7" t="n"/>
      <c r="M48" s="8" t="n"/>
      <c r="N48" s="3" t="n"/>
      <c r="O48" s="3" t="n"/>
    </row>
    <row r="49" hidden="1" ht="51.5" customHeight="1" s="125">
      <c r="A49" s="29" t="n">
        <v>4994</v>
      </c>
      <c r="B49" s="3" t="n">
        <v>1</v>
      </c>
      <c r="C49" s="3" t="n"/>
      <c r="D49" s="3" t="n"/>
      <c r="E49" s="9" t="n">
        <v>0</v>
      </c>
      <c r="F49" s="3">
        <f>8*9</f>
        <v/>
      </c>
      <c r="G49" s="9" t="inlineStr">
        <is>
          <t>Enlistment:SBEE-16/4(16h); Fluidyne - 25/4(16h);Enh: 2L Engrs (29/4-16h);,Reval:ABB(29/4); Shifting of works +Revalidation: Godrej Bus Duct(30/4); Visit to Weir Min. on 16/4(1d) for potential enlistment</t>
        </is>
      </c>
      <c r="H49" s="111" t="n"/>
      <c r="I49" s="112" t="n"/>
      <c r="J49" s="6" t="inlineStr">
        <is>
          <t>Rajesh Sinha</t>
        </is>
      </c>
      <c r="K49" s="7" t="n"/>
      <c r="L49" s="7" t="n"/>
      <c r="M49" s="8" t="n"/>
      <c r="N49" s="3" t="n">
        <v>0</v>
      </c>
      <c r="O49" s="3" t="n">
        <v>32</v>
      </c>
      <c r="P49" t="n">
        <v>0</v>
      </c>
      <c r="Q49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</t>
        </is>
      </c>
    </row>
    <row r="50" hidden="1" ht="46" customHeight="1" s="125">
      <c r="A50" s="29" t="inlineStr">
        <is>
          <t>Leave</t>
        </is>
      </c>
      <c r="B50" s="3" t="n">
        <v>9.5</v>
      </c>
      <c r="C50" s="3" t="n"/>
      <c r="D50" s="3" t="n"/>
      <c r="E50" s="9" t="inlineStr">
        <is>
          <t xml:space="preserve"> </t>
        </is>
      </c>
      <c r="F50" s="3">
        <f>8*B50</f>
        <v/>
      </c>
      <c r="G50" s="9" t="inlineStr">
        <is>
          <t>VR:; AG:11(0.5),12(1d),22(1d);SV-3;US:  ;BT-21-25 (5d);NV:1(1d)</t>
        </is>
      </c>
      <c r="H50" s="111" t="n"/>
      <c r="I50" s="112" t="n"/>
      <c r="J50" s="6" t="inlineStr">
        <is>
          <t xml:space="preserve"> </t>
        </is>
      </c>
      <c r="K50" s="7" t="n"/>
      <c r="L50" s="7" t="n"/>
      <c r="M50" s="8" t="n"/>
      <c r="N50" s="3" t="n"/>
      <c r="O50" s="3">
        <f>F50-N50</f>
        <v/>
      </c>
      <c r="P50" t="n">
        <v>68</v>
      </c>
    </row>
    <row r="51" hidden="1" ht="46" customHeight="1" s="125">
      <c r="A51" s="3" t="n">
        <v>6979</v>
      </c>
      <c r="B51" s="3" t="n"/>
      <c r="C51" s="3" t="n"/>
      <c r="D51" s="3" t="n"/>
      <c r="E51" s="9" t="n"/>
      <c r="F51" s="3" t="n"/>
      <c r="G51" s="101" t="n"/>
      <c r="H51" s="116" t="n"/>
      <c r="I51" s="117" t="n"/>
      <c r="J51" s="6" t="n"/>
      <c r="K51" s="7" t="n"/>
      <c r="L51" s="7" t="n"/>
      <c r="M51" s="8" t="n"/>
      <c r="N51" s="3" t="n"/>
      <c r="O51" s="3" t="n"/>
      <c r="Q51" t="inlineStr">
        <is>
          <t>60h rel on 14/10 against MH for Vert. B; 36h rel on 8/1 in lieu of B302 [96];in lieu of B302106 mh rel against 6979 on 21/4 (for Jan/Feb/Mar) 6979-[202]</t>
        </is>
      </c>
    </row>
    <row r="52" hidden="1" ht="45.5" customHeight="1" s="125">
      <c r="A52" s="3" t="inlineStr">
        <is>
          <t>Total</t>
        </is>
      </c>
      <c r="B52" s="3">
        <f>SUM(B5:B50)</f>
        <v/>
      </c>
      <c r="C52" s="3" t="n"/>
      <c r="D52" s="3" t="n"/>
      <c r="E52" s="9" t="n"/>
      <c r="F52" s="3">
        <f>SUM(F5:F50)</f>
        <v/>
      </c>
      <c r="G52" s="9" t="n"/>
      <c r="H52" s="111" t="n"/>
      <c r="I52" s="112" t="n"/>
      <c r="J52" s="6" t="n"/>
      <c r="K52" s="7" t="n"/>
      <c r="L52" s="7" t="n"/>
      <c r="M52" s="8" t="n"/>
      <c r="N52" s="3" t="n"/>
      <c r="O52" s="3">
        <f>F52-N52</f>
        <v/>
      </c>
      <c r="P52">
        <f>SUM(P5:P50)</f>
        <v/>
      </c>
      <c r="Q52">
        <f>672-P52</f>
        <v/>
      </c>
    </row>
    <row r="53" hidden="1" ht="83.5" customHeight="1" s="125">
      <c r="A53" s="3" t="n"/>
      <c r="B53" s="3" t="n"/>
      <c r="C53" s="3" t="n"/>
      <c r="D53" s="3" t="n"/>
      <c r="E53" s="9" t="n"/>
      <c r="F53" s="3" t="inlineStr">
        <is>
          <t xml:space="preserve"> </t>
        </is>
      </c>
      <c r="G53" s="9" t="n"/>
      <c r="H53" s="111" t="n"/>
      <c r="I53" s="112" t="n"/>
      <c r="J53" s="6" t="n"/>
      <c r="K53" s="7" t="n"/>
      <c r="L53" s="7" t="n"/>
      <c r="M53" s="8" t="n"/>
      <c r="N53" s="3" t="n"/>
      <c r="O53" s="3" t="n"/>
    </row>
    <row r="54" hidden="1" ht="83.5" customHeight="1" s="125">
      <c r="A54" s="3" t="inlineStr">
        <is>
          <t>Notes:</t>
        </is>
      </c>
      <c r="B54" s="3" t="n"/>
      <c r="C54" s="3" t="n"/>
      <c r="D54" s="3" t="n"/>
      <c r="E54" s="9" t="n"/>
      <c r="F54" s="3" t="n"/>
      <c r="G54" s="9" t="n"/>
      <c r="H54" s="111" t="n"/>
      <c r="I54" s="112" t="n"/>
      <c r="J54" s="6" t="n"/>
      <c r="K54" s="7" t="inlineStr">
        <is>
          <t xml:space="preserve"> </t>
        </is>
      </c>
      <c r="L54" s="7" t="n"/>
      <c r="M54" s="8" t="n"/>
      <c r="N54" s="3" t="n"/>
      <c r="O54" s="3" t="n"/>
    </row>
    <row r="55" hidden="1" ht="83.5" customHeight="1" s="125">
      <c r="A55" s="3" t="inlineStr">
        <is>
          <t>1. If there are any other job nos., pl. include the same.</t>
        </is>
      </c>
      <c r="B55" s="3" t="n"/>
      <c r="C55" s="3" t="n"/>
      <c r="D55" s="3" t="n"/>
      <c r="E55" s="9" t="n"/>
      <c r="F55" s="3" t="n"/>
      <c r="G55" s="9" t="inlineStr">
        <is>
          <t xml:space="preserve"> </t>
        </is>
      </c>
      <c r="H55" s="111" t="n"/>
      <c r="I55" s="112" t="n"/>
      <c r="J55" s="6" t="inlineStr">
        <is>
          <t xml:space="preserve"> </t>
        </is>
      </c>
      <c r="K55" s="7" t="inlineStr">
        <is>
          <t xml:space="preserve"> </t>
        </is>
      </c>
      <c r="L55" s="7" t="n"/>
      <c r="M55" s="8" t="n"/>
      <c r="N55" s="3" t="n"/>
      <c r="O55" s="3" t="n"/>
    </row>
    <row r="56" hidden="1" s="125">
      <c r="A56" s="24" t="inlineStr">
        <is>
          <t xml:space="preserve">Guidelines : </t>
        </is>
      </c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</row>
    <row r="57" hidden="1" s="125">
      <c r="A57" s="26" t="inlineStr">
        <is>
          <t>1. Inspection Visit including review and endorsement of final documents: At  actual</t>
        </is>
      </c>
      <c r="B57" s="26" t="n"/>
    </row>
    <row r="58" hidden="1" s="125">
      <c r="A58" s="26" t="inlineStr">
        <is>
          <t xml:space="preserve">2. Expediting and preparation of expediting report: Average 2 hours /month /order ( No separate man hours for coordination ) </t>
        </is>
      </c>
      <c r="Q58" t="inlineStr">
        <is>
          <t xml:space="preserve"> </t>
        </is>
      </c>
    </row>
    <row r="59" hidden="1" s="125">
      <c r="A59" s="26" t="inlineStr">
        <is>
          <t xml:space="preserve">3. Expediting visit/ Attending meeting with project/.Client: At  actual </t>
        </is>
      </c>
    </row>
    <row r="60" hidden="1" s="125">
      <c r="A60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1" hidden="1" s="125">
      <c r="A61" s="26" t="inlineStr">
        <is>
          <t xml:space="preserve">5. Review of ITP for Equipment (Mechanical and Electrical/DCS etc): Average 2 hours/order </t>
        </is>
      </c>
      <c r="M61" t="inlineStr">
        <is>
          <t xml:space="preserve"> </t>
        </is>
      </c>
    </row>
    <row r="62" hidden="1" s="125">
      <c r="A62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3" hidden="1" s="125">
      <c r="A63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4" hidden="1" s="125">
      <c r="A64" s="26" t="inlineStr">
        <is>
          <t xml:space="preserve">8. Order Closing report: Average 2 hours/Order  </t>
        </is>
      </c>
    </row>
    <row r="65">
      <c r="A65" s="27" t="n"/>
    </row>
    <row r="66">
      <c r="J66" t="inlineStr">
        <is>
          <t xml:space="preserve"> </t>
        </is>
      </c>
    </row>
  </sheetData>
  <autoFilter ref="A3:Q64">
    <filterColumn colId="0" hiddenButton="0" showButton="1">
      <filters>
        <filter val="B224 -03"/>
        <filter val="B224-04"/>
        <filter val="B224-05"/>
        <filter val="B224-06"/>
        <filter val="B224-08"/>
        <filter val="B224-09"/>
        <filter val="B224-10"/>
        <filter val="B269"/>
        <filter val="B297"/>
        <filter val="B302"/>
        <filter val="B414"/>
      </filters>
    </filterColumn>
    <filterColumn colId="6" hiddenButton="0" showButton="0"/>
    <filterColumn colId="7" hiddenButton="0" showButton="0"/>
    <filterColumn colId="9" hiddenButton="0" showButton="0"/>
    <filterColumn colId="10" hiddenButton="0" showButton="0"/>
    <filterColumn colId="11" hiddenButton="0" showButton="0"/>
  </autoFilter>
  <mergeCells count="55">
    <mergeCell ref="G38:I38"/>
    <mergeCell ref="G10:I10"/>
    <mergeCell ref="G28:I28"/>
    <mergeCell ref="G6:I6"/>
    <mergeCell ref="G13:I13"/>
    <mergeCell ref="G19:I19"/>
    <mergeCell ref="G37:I37"/>
    <mergeCell ref="G53:I53"/>
    <mergeCell ref="J3:M3"/>
    <mergeCell ref="G18:I18"/>
    <mergeCell ref="G49:I49"/>
    <mergeCell ref="G3:I3"/>
    <mergeCell ref="J2:M2"/>
    <mergeCell ref="G34:I34"/>
    <mergeCell ref="G30:I30"/>
    <mergeCell ref="G15:I15"/>
    <mergeCell ref="G33:I33"/>
    <mergeCell ref="G24:I24"/>
    <mergeCell ref="A2:I2"/>
    <mergeCell ref="G14:I14"/>
    <mergeCell ref="G5:I5"/>
    <mergeCell ref="G45:I45"/>
    <mergeCell ref="G55:I55"/>
    <mergeCell ref="G35:I35"/>
    <mergeCell ref="G4:I4"/>
    <mergeCell ref="G20:I20"/>
    <mergeCell ref="G26:I26"/>
    <mergeCell ref="G29:I29"/>
    <mergeCell ref="G25:I25"/>
    <mergeCell ref="G47:I47"/>
    <mergeCell ref="G16:I16"/>
    <mergeCell ref="G54:I54"/>
    <mergeCell ref="G32:I32"/>
    <mergeCell ref="G50:I50"/>
    <mergeCell ref="J42:L42"/>
    <mergeCell ref="G22:I22"/>
    <mergeCell ref="G41:I41"/>
    <mergeCell ref="G31:I31"/>
    <mergeCell ref="G46:I46"/>
    <mergeCell ref="G40:I40"/>
    <mergeCell ref="G9:I9"/>
    <mergeCell ref="G12:I12"/>
    <mergeCell ref="G52:I52"/>
    <mergeCell ref="G21:I21"/>
    <mergeCell ref="G43:I43"/>
    <mergeCell ref="G11:I11"/>
    <mergeCell ref="G36:I36"/>
    <mergeCell ref="G27:I27"/>
    <mergeCell ref="G23:I23"/>
    <mergeCell ref="A1:I1"/>
    <mergeCell ref="G8:I8"/>
    <mergeCell ref="G39:I39"/>
    <mergeCell ref="G48:I48"/>
    <mergeCell ref="G17:I17"/>
    <mergeCell ref="G7:I7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Y50"/>
  <sheetViews>
    <sheetView topLeftCell="C1" workbookViewId="0">
      <selection activeCell="M15" sqref="M15:T15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 Apr'25</t>
        </is>
      </c>
      <c r="M1" s="122" t="inlineStr">
        <is>
          <t xml:space="preserve">Total MH reqd: </t>
        </is>
      </c>
      <c r="O1" s="122">
        <f>20*8*6</f>
        <v/>
      </c>
    </row>
    <row r="2" ht="72.5" customFormat="1" customHeight="1" s="34">
      <c r="A2" s="33" t="inlineStr">
        <is>
          <t xml:space="preserve">Job No </t>
        </is>
      </c>
      <c r="B2" s="33" t="inlineStr">
        <is>
          <t>Number of Purchase Orders</t>
        </is>
      </c>
      <c r="C2" s="33" t="inlineStr">
        <is>
          <t xml:space="preserve">No of Engineers deployed </t>
        </is>
      </c>
      <c r="D2" s="33" t="inlineStr">
        <is>
          <t>No of Inspn / Expediting Visits</t>
        </is>
      </c>
      <c r="E2" s="33" t="inlineStr">
        <is>
          <t xml:space="preserve">No of Expediting Reports / Desk expediting </t>
        </is>
      </c>
      <c r="F2" s="33" t="inlineStr">
        <is>
          <t>No of OCRs</t>
        </is>
      </c>
      <c r="G2" s="33" t="inlineStr">
        <is>
          <t xml:space="preserve">Manhours for Inspection </t>
        </is>
      </c>
      <c r="H2" s="33" t="inlineStr">
        <is>
          <t xml:space="preserve">Manhours for expediting </t>
        </is>
      </c>
      <c r="I2" s="33" t="inlineStr">
        <is>
          <t xml:space="preserve">Others </t>
        </is>
      </c>
      <c r="J2" s="33" t="inlineStr">
        <is>
          <t xml:space="preserve">Total Manhours  required </t>
        </is>
      </c>
      <c r="K2" s="33" t="inlineStr">
        <is>
          <t>Recd as on 03/06/25</t>
        </is>
      </c>
      <c r="L2" s="33" t="inlineStr">
        <is>
          <t>Shortfall</t>
        </is>
      </c>
    </row>
    <row r="3" hidden="1" customFormat="1" s="34">
      <c r="A3" s="35" t="inlineStr">
        <is>
          <t>Holiday</t>
        </is>
      </c>
      <c r="B3" s="33" t="n"/>
      <c r="C3" s="33" t="n"/>
      <c r="D3" s="33" t="n"/>
      <c r="E3" s="33" t="n"/>
      <c r="F3" s="36" t="n"/>
      <c r="G3" s="36" t="n"/>
      <c r="H3" s="33" t="n"/>
      <c r="I3" s="36" t="n"/>
      <c r="J3" s="37" t="n"/>
      <c r="K3" s="37" t="n"/>
      <c r="L3" s="37" t="n"/>
    </row>
    <row r="4" hidden="1" customFormat="1" s="34">
      <c r="A4" s="35" t="inlineStr">
        <is>
          <t>Leave</t>
        </is>
      </c>
      <c r="B4" s="33" t="n"/>
      <c r="C4" s="33" t="n"/>
      <c r="D4" s="33" t="n"/>
      <c r="E4" s="33" t="n"/>
      <c r="F4" s="36" t="n"/>
      <c r="G4" s="36" t="n"/>
      <c r="H4" s="33" t="n"/>
      <c r="I4" s="36" t="n"/>
      <c r="J4" s="38">
        <f>8*9.5</f>
        <v/>
      </c>
      <c r="K4" s="38" t="n">
        <v>76</v>
      </c>
      <c r="L4" s="38" t="n"/>
      <c r="M4" s="120" t="inlineStr">
        <is>
          <t>VR:; AG:11(0.5),12(1d),22(1d);SV-3;US:  ;BT-21-25 (5d);NV:1(1d)</t>
        </is>
      </c>
    </row>
    <row r="5" hidden="1" ht="35.5" customFormat="1" customHeight="1" s="34">
      <c r="A5" s="35" t="n">
        <v>8518</v>
      </c>
      <c r="B5" s="33" t="n"/>
      <c r="C5" s="33" t="n"/>
      <c r="D5" s="33" t="n"/>
      <c r="E5" s="33" t="n"/>
      <c r="F5" s="36" t="n"/>
      <c r="G5" s="36" t="n"/>
      <c r="H5" s="33" t="n"/>
      <c r="I5" s="36" t="n"/>
      <c r="J5" s="41" t="n">
        <v>200</v>
      </c>
      <c r="K5" s="41" t="n">
        <v>98</v>
      </c>
      <c r="L5" s="41">
        <f>J5-K5</f>
        <v/>
      </c>
      <c r="M5" s="120" t="inlineStr">
        <is>
          <t>Admin works,Insp Guidelines/Typ Test review/ITP revision(E&amp;I ITPS)/Std. Spec review-mtgs with Inst. Engg. on Cryo Test Procedure &amp; Flow Meter MR improvements,other miscellaneous works incl. Dept Mtg, Office enhancement efforts,Short Term Contracts, New Facility Mgmt Tender requirements freeze etc.,Mktg leads, Hosp Nomination;98h avl on 27/5</t>
        </is>
      </c>
      <c r="V5" s="34" t="inlineStr">
        <is>
          <t>pending mh to be filled:</t>
        </is>
      </c>
      <c r="X5" s="34" t="inlineStr">
        <is>
          <t>MH avl</t>
        </is>
      </c>
    </row>
    <row r="6" hidden="1" customFormat="1" s="34">
      <c r="A6" s="35" t="n">
        <v>4994</v>
      </c>
      <c r="B6" s="33" t="n"/>
      <c r="C6" s="33" t="n"/>
      <c r="D6" s="33" t="n"/>
      <c r="E6" s="33" t="n"/>
      <c r="F6" s="36" t="n"/>
      <c r="G6" s="36" t="n"/>
      <c r="H6" s="33" t="n"/>
      <c r="I6" s="33" t="n"/>
      <c r="J6" s="41" t="n">
        <v>72</v>
      </c>
      <c r="K6" s="41" t="n">
        <v>72</v>
      </c>
      <c r="L6" s="41">
        <f>J6-K6</f>
        <v/>
      </c>
      <c r="M6" s="120" t="inlineStr">
        <is>
          <t>Enlistment:SBEE-16/4(16h); Fluidyne - 25/4(16h);Enh: 2L Engrs (29/4-16h);,Reval:ABB(29/4); Shifting of works +Revalidation: Godrej Bus Duct(30/4); Visit to Weir Min. on 16/4(1d) for potential enlistment;72h rel on 27/5[4310]</t>
        </is>
      </c>
    </row>
    <row r="7" hidden="1" ht="15" customFormat="1" customHeight="1" s="34">
      <c r="A7" s="42" t="n">
        <v>7716</v>
      </c>
      <c r="B7" s="1" t="n"/>
      <c r="C7" s="1" t="n"/>
      <c r="D7" s="1" t="n"/>
      <c r="E7" s="1" t="n"/>
      <c r="F7" s="43" t="n"/>
      <c r="G7" s="1" t="n"/>
      <c r="H7" s="33" t="n"/>
      <c r="I7" s="33" t="n">
        <v>12</v>
      </c>
      <c r="J7" s="41">
        <f>SUM(G7:I7)</f>
        <v/>
      </c>
      <c r="K7" s="44" t="n">
        <v>16</v>
      </c>
      <c r="L7" s="41">
        <f>J7-K7</f>
        <v/>
      </c>
      <c r="M7" s="120" t="inlineStr">
        <is>
          <t xml:space="preserve"> Godrej/Climaveneta -VC on 7/4 (0.5d); Compliance review on 15 &amp; 17/4 - (1d);16h rel on 9/4[28] - utilised in Mar'25</t>
        </is>
      </c>
      <c r="Q7" s="121" t="n"/>
      <c r="R7" s="121" t="n"/>
      <c r="S7" s="121" t="n"/>
      <c r="T7" s="121" t="n"/>
    </row>
    <row r="8" hidden="1" customFormat="1" s="34">
      <c r="A8" s="35" t="inlineStr">
        <is>
          <t>8590 (Training)</t>
        </is>
      </c>
      <c r="B8" s="33" t="n"/>
      <c r="C8" s="33" t="n"/>
      <c r="D8" s="33" t="n"/>
      <c r="E8" s="33" t="n"/>
      <c r="F8" s="36" t="n"/>
      <c r="G8" s="36" t="n"/>
      <c r="H8" s="33" t="n"/>
      <c r="I8" s="36" t="n"/>
      <c r="J8" s="41" t="n"/>
      <c r="K8" s="41" t="n"/>
      <c r="L8" s="41">
        <f>J8-K8</f>
        <v/>
      </c>
      <c r="N8" s="121" t="n"/>
      <c r="O8" s="121" t="n"/>
      <c r="P8" s="121" t="n"/>
      <c r="Q8" s="121" t="n"/>
      <c r="R8" s="121" t="n"/>
      <c r="S8" s="121" t="n"/>
      <c r="T8" s="121" t="n"/>
    </row>
    <row r="9" hidden="1" ht="15" customFormat="1" customHeight="1" s="34">
      <c r="A9" s="45" t="inlineStr">
        <is>
          <t>B035</t>
        </is>
      </c>
      <c r="B9" s="1" t="n"/>
      <c r="C9" s="1" t="n"/>
      <c r="D9" s="1" t="n"/>
      <c r="E9" s="1" t="n"/>
      <c r="F9" s="43" t="n"/>
      <c r="G9" s="1" t="n"/>
      <c r="H9" s="33" t="n">
        <v>8</v>
      </c>
      <c r="I9" s="43" t="n"/>
      <c r="J9" s="41">
        <f>SUM(G9:I9)</f>
        <v/>
      </c>
      <c r="K9" s="41" t="n"/>
      <c r="L9" s="41">
        <f>J9-K9</f>
        <v/>
      </c>
      <c r="M9" s="120" t="inlineStr">
        <is>
          <t xml:space="preserve"> Expediting - Greensol;</t>
        </is>
      </c>
    </row>
    <row r="10" hidden="1" customFormat="1" s="34">
      <c r="A10" s="35" t="inlineStr">
        <is>
          <t>B038</t>
        </is>
      </c>
      <c r="B10" s="33" t="n"/>
      <c r="C10" s="33" t="n"/>
      <c r="D10" s="33" t="n"/>
      <c r="E10" s="33" t="n"/>
      <c r="F10" s="37" t="n">
        <v>1</v>
      </c>
      <c r="G10" s="37" t="n"/>
      <c r="H10" s="33" t="n">
        <v>4</v>
      </c>
      <c r="I10" s="37" t="n"/>
      <c r="J10" s="41">
        <f>SUM(G10:I10)</f>
        <v/>
      </c>
      <c r="K10" s="41" t="n"/>
      <c r="L10" s="41">
        <f>J10-K10</f>
        <v/>
      </c>
      <c r="M10" s="120" t="inlineStr">
        <is>
          <t xml:space="preserve"> Apr- 2ord (incl 1OCS) -4h</t>
        </is>
      </c>
    </row>
    <row r="11" hidden="1" customFormat="1" s="34">
      <c r="A11" s="35" t="inlineStr">
        <is>
          <t>B058</t>
        </is>
      </c>
      <c r="B11" s="33" t="n"/>
      <c r="C11" s="33" t="n"/>
      <c r="D11" s="33" t="n"/>
      <c r="E11" s="33" t="n"/>
      <c r="F11" s="36" t="n"/>
      <c r="G11" s="33" t="n"/>
      <c r="H11" s="33" t="n"/>
      <c r="I11" s="33" t="n"/>
      <c r="J11" s="41" t="n"/>
      <c r="K11" s="41" t="n"/>
      <c r="L11" s="41">
        <f>J11-K11</f>
        <v/>
      </c>
      <c r="M11" s="120" t="inlineStr">
        <is>
          <t xml:space="preserve"> Insp of Drives @ Yaskawa a/c FL Smidth -5,6/2/25 + doc rev. 28/2</t>
        </is>
      </c>
      <c r="V11" s="34" t="inlineStr">
        <is>
          <t>Viji</t>
        </is>
      </c>
      <c r="W11" s="34" t="n">
        <v>168</v>
      </c>
    </row>
    <row r="12" ht="14.5" customFormat="1" customHeight="1" s="34">
      <c r="A12" s="35" t="inlineStr">
        <is>
          <t>B224</t>
        </is>
      </c>
      <c r="B12" s="33" t="n"/>
      <c r="C12" s="33" t="n"/>
      <c r="D12" s="33" t="n"/>
      <c r="E12" s="33" t="n"/>
      <c r="F12" s="36" t="n"/>
      <c r="G12" s="33" t="n">
        <v>40</v>
      </c>
      <c r="H12" s="33" t="n"/>
      <c r="I12" s="36" t="n"/>
      <c r="J12" s="41">
        <f>SUM(G12:I12)</f>
        <v/>
      </c>
      <c r="K12" s="41" t="n"/>
      <c r="L12" s="41">
        <f>J12-K12</f>
        <v/>
      </c>
      <c r="M12" s="120" t="inlineStr">
        <is>
          <t xml:space="preserve">3 Insp Visits:  Insp: L&amp;T /YIL -Doc rev+IRN end-5/4(0.5d);Afcons/Emerson-UFM- Doc/Compliance rev - 2/4 (0.5d);YIL - Shelters - Inlet Pump Skids Insp - 7/4 - (1d) ; Amounting to -16h 
5nos Doc Rev &amp; Expediting:Koso Valve QAP appl (17/4 - 0.5d);Vertiv ACDB QAP-28/4 (0.5d);Motor- ABB Finland, Vertiv -ACDBs with Static switch - QAP appl - 4h; VSD- Hitachi,Korea; TPI doc. Rev. - 4hrs on 21 &amp; 4h on 28/4 (1d);Schneider 6.6kV QAP appl -2/4-(0.5d); Amounting to 24h; </t>
        </is>
      </c>
    </row>
    <row r="13" hidden="1" customFormat="1" s="34">
      <c r="A13" s="35" t="inlineStr">
        <is>
          <t>B215</t>
        </is>
      </c>
      <c r="B13" s="33" t="n"/>
      <c r="C13" s="33" t="n"/>
      <c r="D13" s="33" t="n"/>
      <c r="E13" s="33" t="n"/>
      <c r="F13" s="36" t="n"/>
      <c r="G13" s="36" t="n"/>
      <c r="H13" s="33" t="n"/>
      <c r="I13" s="33" t="n"/>
      <c r="J13" s="41" t="n"/>
      <c r="K13" s="41" t="n"/>
      <c r="L13" s="41">
        <f>J13-K13</f>
        <v/>
      </c>
      <c r="M13" s="120" t="inlineStr">
        <is>
          <t xml:space="preserve"> </t>
        </is>
      </c>
      <c r="Q13" s="46" t="n"/>
      <c r="R13" s="46" t="n"/>
      <c r="S13" s="46" t="n"/>
      <c r="T13" s="46" t="n"/>
    </row>
    <row r="14" hidden="1" customFormat="1" s="34">
      <c r="A14" s="35" t="inlineStr">
        <is>
          <t>B229</t>
        </is>
      </c>
      <c r="B14" s="33" t="n">
        <v>3</v>
      </c>
      <c r="C14" s="33" t="n"/>
      <c r="D14" s="33" t="n"/>
      <c r="E14" s="33" t="n"/>
      <c r="F14" s="37" t="n">
        <v>2</v>
      </c>
      <c r="G14" s="37" t="n"/>
      <c r="H14" s="33" t="n">
        <v>14</v>
      </c>
      <c r="I14" s="37" t="n"/>
      <c r="J14" s="41">
        <f>SUM(G14:I14)</f>
        <v/>
      </c>
      <c r="K14" s="44" t="n"/>
      <c r="L14" s="41">
        <f>J14-K14</f>
        <v/>
      </c>
      <c r="M14" s="120" t="inlineStr">
        <is>
          <t xml:space="preserve">1order FD f/up +2 OCS </t>
        </is>
      </c>
    </row>
    <row r="15" ht="29" customFormat="1" customHeight="1" s="34">
      <c r="A15" s="47" t="inlineStr">
        <is>
          <t>B269</t>
        </is>
      </c>
      <c r="B15" s="33" t="n">
        <v>16</v>
      </c>
      <c r="C15" s="33" t="n"/>
      <c r="D15" s="33" t="n"/>
      <c r="E15" s="33" t="n"/>
      <c r="F15" s="33" t="n">
        <v>2</v>
      </c>
      <c r="G15" s="33" t="n">
        <v>64</v>
      </c>
      <c r="H15" s="33" t="n">
        <v>40</v>
      </c>
      <c r="I15" s="33" t="n">
        <v>0</v>
      </c>
      <c r="J15" s="41">
        <f>SUM(G15:I15)</f>
        <v/>
      </c>
      <c r="K15" s="41" t="n">
        <v>0</v>
      </c>
      <c r="L15" s="41">
        <f>J15-K15</f>
        <v/>
      </c>
      <c r="M15" s="120" t="inlineStr">
        <is>
          <t>11 running orders+ 3Orders FD sub expediting+2OCS; Critical Item Insp - YIL- RHCU FAT- 5d (28/4-2/5-(5d); FF Doc Rev/IRN endor - 26/4(1d);YIL -B269/1408 -Shelter-11/4(1d); Mtg with ABB at Office for review of orders - 10/4 (8h)</t>
        </is>
      </c>
      <c r="V15" s="48" t="inlineStr">
        <is>
          <t>SV</t>
        </is>
      </c>
      <c r="W15" s="48">
        <f>21*8-4*8</f>
        <v/>
      </c>
      <c r="X15" s="48">
        <f>90+24+22</f>
        <v/>
      </c>
      <c r="Y15" s="48" t="inlineStr">
        <is>
          <t>b035+b436+B767</t>
        </is>
      </c>
    </row>
    <row r="16" customFormat="1" s="34">
      <c r="A16" s="35" t="inlineStr">
        <is>
          <t>B297</t>
        </is>
      </c>
      <c r="B16" s="33" t="n">
        <v>6</v>
      </c>
      <c r="C16" s="33" t="n"/>
      <c r="D16" s="33" t="n"/>
      <c r="E16" s="33" t="n"/>
      <c r="F16" s="33" t="n">
        <v>1</v>
      </c>
      <c r="G16" s="33" t="n">
        <v>8</v>
      </c>
      <c r="H16" s="33" t="n">
        <v>18</v>
      </c>
      <c r="I16" s="37" t="n"/>
      <c r="J16" s="41">
        <f>SUM(G16:I16)</f>
        <v/>
      </c>
      <c r="K16" s="41" t="n"/>
      <c r="L16" s="41">
        <f>J16-K16</f>
        <v/>
      </c>
      <c r="M16" s="120" t="inlineStr">
        <is>
          <t>Exp-6 ord-4 runn ord, 2-FD sub; 1OCS; Insp: B297/301 (4/4 - 1d)</t>
        </is>
      </c>
      <c r="V16" s="48" t="n"/>
      <c r="W16" s="48" t="n"/>
      <c r="X16" s="48" t="n"/>
      <c r="Y16" s="48" t="n"/>
    </row>
    <row r="17" customFormat="1" s="34">
      <c r="A17" s="35" t="inlineStr">
        <is>
          <t>B302</t>
        </is>
      </c>
      <c r="B17" s="33" t="n">
        <v>4</v>
      </c>
      <c r="C17" s="33" t="n"/>
      <c r="D17" s="33" t="n"/>
      <c r="E17" s="33" t="n"/>
      <c r="F17" s="33" t="n"/>
      <c r="G17" s="33" t="n"/>
      <c r="H17" s="33" t="n">
        <v>16</v>
      </c>
      <c r="I17" s="33" t="n">
        <v>16</v>
      </c>
      <c r="J17" s="41">
        <f>SUM(G17:I17)</f>
        <v/>
      </c>
      <c r="K17" s="41" t="n"/>
      <c r="L17" s="41">
        <f>J17-K17</f>
        <v/>
      </c>
      <c r="M17" s="120" t="inlineStr">
        <is>
          <t>4 Running orders ; Shirdi Sai -Online mtg/QAP appls, KOM for Turnkey Inst. Job - YIL</t>
        </is>
      </c>
      <c r="V17" s="48" t="n"/>
      <c r="W17" s="48" t="n"/>
      <c r="X17" s="48" t="n"/>
      <c r="Y17" s="48" t="n"/>
    </row>
    <row r="18" hidden="1" customFormat="1" s="34">
      <c r="A18" s="35" t="inlineStr">
        <is>
          <t>B348</t>
        </is>
      </c>
      <c r="B18" s="33" t="n">
        <v>14</v>
      </c>
      <c r="C18" s="33" t="n"/>
      <c r="D18" s="33" t="n"/>
      <c r="E18" s="33" t="n"/>
      <c r="F18" s="33" t="n"/>
      <c r="G18" s="33" t="n"/>
      <c r="H18" s="33" t="n">
        <v>32</v>
      </c>
      <c r="I18" s="37" t="n"/>
      <c r="J18" s="41">
        <f>SUM(G18:I18)</f>
        <v/>
      </c>
      <c r="K18" s="41" t="n">
        <v>22</v>
      </c>
      <c r="L18" s="41">
        <f>J18-K18</f>
        <v/>
      </c>
      <c r="M18" s="120" t="inlineStr">
        <is>
          <t>12 Running orders +2 ord FD exp-22h rel on 4/7/25 for Apr &amp; May [184]</t>
        </is>
      </c>
      <c r="Q18" s="121" t="n"/>
      <c r="R18" s="121" t="n"/>
      <c r="S18" s="121" t="n"/>
      <c r="T18" s="121" t="n"/>
      <c r="V18" s="48" t="n"/>
      <c r="W18" s="48" t="n"/>
      <c r="X18" s="48" t="n"/>
      <c r="Y18" s="48" t="n"/>
    </row>
    <row r="19" hidden="1" customFormat="1" s="34">
      <c r="A19" s="47" t="inlineStr">
        <is>
          <t>B378</t>
        </is>
      </c>
      <c r="B19" s="33" t="n">
        <v>22</v>
      </c>
      <c r="C19" s="33" t="n"/>
      <c r="D19" s="33" t="n"/>
      <c r="E19" s="33" t="n"/>
      <c r="F19" s="37" t="n">
        <v>2</v>
      </c>
      <c r="G19" s="37" t="n">
        <v>80</v>
      </c>
      <c r="H19" s="33" t="n">
        <v>52</v>
      </c>
      <c r="I19" s="37" t="n">
        <v>32</v>
      </c>
      <c r="J19" s="41">
        <f>SUM(G19:I19)</f>
        <v/>
      </c>
      <c r="K19" s="41" t="n">
        <v>160</v>
      </c>
      <c r="L19" s="41">
        <f>J19-K19</f>
        <v/>
      </c>
      <c r="M19" s="120" t="inlineStr">
        <is>
          <t xml:space="preserve"> 20 ord Expediting(incl  4ord FD sub exp)+ 2OCS; Inspn: YIL(706)-11/4(1d); (631)-27/4 (1d);Microfinish(611)-30/4 (1d);PO 569 - 23to25/4 (3d);Schneider -PO 725-22-25 (4d);Mtg. with YIL for resolving o/s Hold-ups in FAT &amp; procurement resply;Meeting/rev. of Cryo Test procedure &amp; expediting of o/s issues; Rev. Mtg. @ Kequip Global alongwith Client (28/4-1d);Mtg with ABB at Office for review of orders - 10/4 (8h); 160 mh rel on 20/5</t>
        </is>
      </c>
      <c r="V19" s="34" t="inlineStr">
        <is>
          <t>NV</t>
        </is>
      </c>
      <c r="W19" s="34">
        <f>168-16</f>
        <v/>
      </c>
      <c r="X19" s="34">
        <f>30+2</f>
        <v/>
      </c>
      <c r="Y19" s="34" t="inlineStr">
        <is>
          <t>b414</t>
        </is>
      </c>
    </row>
    <row r="20" ht="15" customFormat="1" customHeight="1" s="34">
      <c r="A20" s="42" t="inlineStr">
        <is>
          <t>B414</t>
        </is>
      </c>
      <c r="B20" s="119" t="n">
        <v>5</v>
      </c>
      <c r="C20" s="1" t="n"/>
      <c r="D20" s="1" t="n"/>
      <c r="E20" s="1" t="n"/>
      <c r="F20" s="119" t="n">
        <v>1</v>
      </c>
      <c r="G20" s="119" t="n">
        <v>52</v>
      </c>
      <c r="H20" s="33" t="n">
        <v>14</v>
      </c>
      <c r="I20" s="49" t="n"/>
      <c r="J20" s="41">
        <f>SUM(G20:I20)</f>
        <v/>
      </c>
      <c r="K20" s="41" t="n"/>
      <c r="L20" s="41">
        <f>J20-K20</f>
        <v/>
      </c>
      <c r="M20" s="120" t="inlineStr">
        <is>
          <t>5 orders ( incl. 3Running orders &amp; 1FD expediting&amp; 1OCS); Insp: Schneider - Sw Bds - B414/55- 22-25/4 (4d);Pace process 5 QAP appls.-12,14/4 (1d), 27,28/4(1.5d);</t>
        </is>
      </c>
      <c r="V20" s="34" t="inlineStr">
        <is>
          <t>Shortage</t>
        </is>
      </c>
      <c r="W20" s="34">
        <f>168+152-32</f>
        <v/>
      </c>
    </row>
    <row r="21" hidden="1" customFormat="1" s="34">
      <c r="A21" s="50" t="inlineStr">
        <is>
          <t>B436</t>
        </is>
      </c>
      <c r="B21" s="33" t="n">
        <v>1</v>
      </c>
      <c r="C21" s="33" t="n"/>
      <c r="D21" s="33" t="n"/>
      <c r="E21" s="33" t="n"/>
      <c r="F21" s="36" t="n"/>
      <c r="G21" s="33" t="n"/>
      <c r="H21" s="33" t="n">
        <v>2</v>
      </c>
      <c r="I21" s="33" t="n"/>
      <c r="J21" s="41">
        <f>SUM(G21:I21)</f>
        <v/>
      </c>
      <c r="K21" s="41" t="n">
        <v>12</v>
      </c>
      <c r="L21" s="41">
        <f>J21-K21</f>
        <v/>
      </c>
      <c r="M21" s="120" t="inlineStr">
        <is>
          <t>SCADA order on ABB-12mh rel on 20/5</t>
        </is>
      </c>
    </row>
    <row r="22" hidden="1" ht="15" customHeight="1" s="125">
      <c r="A22" s="35" t="inlineStr">
        <is>
          <t>B440</t>
        </is>
      </c>
      <c r="B22" s="33" t="n">
        <v>15</v>
      </c>
      <c r="C22" s="33" t="n"/>
      <c r="D22" s="33" t="n"/>
      <c r="E22" s="33" t="n"/>
      <c r="F22" s="33" t="n">
        <v>1</v>
      </c>
      <c r="G22" s="33" t="n">
        <v>4</v>
      </c>
      <c r="H22" s="33" t="n">
        <v>34</v>
      </c>
      <c r="I22" s="37" t="n"/>
      <c r="J22" s="41">
        <f>SUM(G22:I22)</f>
        <v/>
      </c>
      <c r="K22" s="41" t="n">
        <v>15</v>
      </c>
      <c r="L22" s="41">
        <f>J22-K22</f>
        <v/>
      </c>
      <c r="M22" s="120" t="inlineStr">
        <is>
          <t>Apr25: 15ord( inc 2 ord FD sub+1OCS);PO131-rev/end of TPI recds - 4h;15h rel on 24/5</t>
        </is>
      </c>
    </row>
    <row r="23" hidden="1" ht="15" customHeight="1" s="125">
      <c r="A23" s="42" t="inlineStr">
        <is>
          <t>B448</t>
        </is>
      </c>
      <c r="B23" s="119" t="n">
        <v>1</v>
      </c>
      <c r="C23" s="1" t="n"/>
      <c r="D23" s="1" t="n"/>
      <c r="E23" s="1" t="n"/>
      <c r="F23" s="43" t="n"/>
      <c r="G23" s="119" t="n">
        <v>32</v>
      </c>
      <c r="H23" s="33" t="n"/>
      <c r="I23" s="119" t="n">
        <v>4</v>
      </c>
      <c r="J23" s="41">
        <f>SUM(G23:I23)</f>
        <v/>
      </c>
      <c r="K23" s="41" t="n">
        <v>60</v>
      </c>
      <c r="L23" s="41">
        <f>J23-K23</f>
        <v/>
      </c>
      <c r="M23" s="120" t="inlineStr">
        <is>
          <t xml:space="preserve"> Plant Automation tender on ABB - Plant Automation QAP rev. 28/4(0.5d); Inspn: Kalpataru/Schneider - 22-25/4 (4d); 60h rel on 8/7[252]</t>
        </is>
      </c>
      <c r="Q23" s="121" t="n"/>
      <c r="R23" s="121" t="n"/>
      <c r="S23" s="121" t="n"/>
      <c r="T23" s="121" t="n"/>
    </row>
    <row r="24" hidden="1" ht="15" customFormat="1" customHeight="1" s="34">
      <c r="A24" s="42" t="inlineStr">
        <is>
          <t>B519</t>
        </is>
      </c>
      <c r="B24" s="119" t="n">
        <v>3</v>
      </c>
      <c r="C24" s="1" t="n"/>
      <c r="D24" s="1" t="n"/>
      <c r="E24" s="1" t="n"/>
      <c r="F24" s="119" t="n">
        <v>1</v>
      </c>
      <c r="G24" s="1" t="n"/>
      <c r="H24" s="33" t="n">
        <v>10</v>
      </c>
      <c r="I24" s="119" t="n"/>
      <c r="J24" s="41">
        <f>SUM(G24:I24)</f>
        <v/>
      </c>
      <c r="K24" s="41" t="n"/>
      <c r="L24" s="41">
        <f>J24-K24</f>
        <v/>
      </c>
      <c r="M24" s="120" t="inlineStr">
        <is>
          <t>Apr'25: 2 runn ord (FD exp)+1OCS</t>
        </is>
      </c>
    </row>
    <row r="25" hidden="1" customFormat="1" s="34">
      <c r="A25" s="42" t="inlineStr">
        <is>
          <t>B548</t>
        </is>
      </c>
      <c r="B25" s="1" t="n"/>
      <c r="C25" s="1" t="n"/>
      <c r="D25" s="1" t="n"/>
      <c r="E25" s="1" t="n"/>
      <c r="F25" s="49" t="n"/>
      <c r="G25" s="49" t="n"/>
      <c r="H25" s="33" t="n"/>
      <c r="I25" s="119" t="n"/>
      <c r="J25" s="41" t="n"/>
      <c r="K25" s="41" t="n"/>
      <c r="L25" s="41">
        <f>J25-K25</f>
        <v/>
      </c>
      <c r="M25" s="120" t="inlineStr">
        <is>
          <t xml:space="preserve"> </t>
        </is>
      </c>
      <c r="X25" s="34">
        <f>122+168</f>
        <v/>
      </c>
    </row>
    <row r="26" hidden="1" ht="15" customFormat="1" customHeight="1" s="34">
      <c r="A26" s="51" t="inlineStr">
        <is>
          <t>B560</t>
        </is>
      </c>
      <c r="B26" s="119" t="n">
        <v>14</v>
      </c>
      <c r="C26" s="1" t="n"/>
      <c r="D26" s="1" t="n"/>
      <c r="E26" s="1" t="n"/>
      <c r="F26" s="43" t="n"/>
      <c r="G26" s="43" t="n"/>
      <c r="H26" s="33" t="n">
        <v>28</v>
      </c>
      <c r="I26" s="52" t="n">
        <v>8</v>
      </c>
      <c r="J26" s="41">
        <f>SUM(G26:I26)</f>
        <v/>
      </c>
      <c r="K26" s="41" t="n"/>
      <c r="L26" s="41">
        <f>J26-K26</f>
        <v/>
      </c>
      <c r="M26" s="120" t="inlineStr">
        <is>
          <t xml:space="preserve"> 14 orders (incl.3 FD exp &amp; OCS for 7 earlier orders) &amp; OCS also to be made as per latest reqt.; Rev. Mtg @ MF alongwith Client - 30/4(1d)</t>
        </is>
      </c>
    </row>
    <row r="27" hidden="1" ht="14.5" customFormat="1" customHeight="1" s="34">
      <c r="A27" s="51" t="inlineStr">
        <is>
          <t>B589</t>
        </is>
      </c>
      <c r="B27" s="1" t="n"/>
      <c r="C27" s="1" t="n"/>
      <c r="D27" s="1" t="n"/>
      <c r="E27" s="1" t="n"/>
      <c r="F27" s="49" t="n"/>
      <c r="G27" s="43" t="n"/>
      <c r="H27" s="33" t="n"/>
      <c r="I27" s="49" t="n"/>
      <c r="J27" s="41" t="n"/>
      <c r="K27" s="41" t="n"/>
      <c r="L27" s="41">
        <f>J27-K27</f>
        <v/>
      </c>
      <c r="M27" s="120" t="inlineStr">
        <is>
          <t xml:space="preserve"> </t>
        </is>
      </c>
    </row>
    <row r="28" hidden="1" ht="14.5" customFormat="1" customHeight="1" s="34">
      <c r="A28" s="51" t="inlineStr">
        <is>
          <t>B559</t>
        </is>
      </c>
      <c r="B28" s="119" t="n">
        <v>4</v>
      </c>
      <c r="C28" s="1" t="n"/>
      <c r="D28" s="1" t="n"/>
      <c r="E28" s="1" t="n"/>
      <c r="F28" s="49" t="n"/>
      <c r="G28" s="43" t="n"/>
      <c r="H28" s="33" t="n">
        <v>8</v>
      </c>
      <c r="I28" s="49" t="n"/>
      <c r="J28" s="41">
        <f>SUM(G28:I28)</f>
        <v/>
      </c>
      <c r="K28" s="41" t="n">
        <v>1</v>
      </c>
      <c r="L28" s="41">
        <f>J28-K28</f>
        <v/>
      </c>
      <c r="M28" s="120" t="inlineStr">
        <is>
          <t>4 orders expediting - 1h rel on 24/6</t>
        </is>
      </c>
      <c r="N28" s="121" t="n"/>
      <c r="O28" s="121" t="n"/>
      <c r="P28" s="121" t="n"/>
    </row>
    <row r="29" hidden="1" ht="14.5" customFormat="1" customHeight="1" s="34">
      <c r="A29" s="51" t="inlineStr">
        <is>
          <t>B650</t>
        </is>
      </c>
      <c r="B29" s="1" t="n"/>
      <c r="C29" s="1" t="n"/>
      <c r="D29" s="1" t="n"/>
      <c r="E29" s="1" t="n"/>
      <c r="F29" s="49" t="n"/>
      <c r="G29" s="43" t="n"/>
      <c r="H29" s="33" t="n"/>
      <c r="I29" s="49" t="n"/>
      <c r="J29" s="41" t="n"/>
      <c r="K29" s="41" t="n"/>
      <c r="L29" s="41">
        <f>J29-K29</f>
        <v/>
      </c>
      <c r="M29" s="120" t="n"/>
      <c r="N29" s="121" t="n"/>
      <c r="O29" s="121" t="n"/>
      <c r="P29" s="121" t="n"/>
    </row>
    <row r="30" hidden="1" ht="36.5" customFormat="1" customHeight="1" s="34">
      <c r="A30" s="42" t="inlineStr">
        <is>
          <t>B653</t>
        </is>
      </c>
      <c r="B30" s="119" t="n">
        <v>14</v>
      </c>
      <c r="C30" s="1" t="n"/>
      <c r="D30" s="1" t="n"/>
      <c r="E30" s="1" t="n"/>
      <c r="F30" s="43" t="n"/>
      <c r="G30" s="43" t="n"/>
      <c r="H30" s="33" t="n">
        <v>32</v>
      </c>
      <c r="I30" s="53" t="n">
        <v>8</v>
      </c>
      <c r="J30" s="41">
        <f>SUM(G30:I30)</f>
        <v/>
      </c>
      <c r="K30" s="41" t="n"/>
      <c r="L30" s="41">
        <f>J30-K30</f>
        <v/>
      </c>
      <c r="M30" s="120" t="inlineStr">
        <is>
          <t>(13 running ord+1OCS);Univ Insts -Rev. mtg &amp; Show Cause Notice issue reco. -8h</t>
        </is>
      </c>
    </row>
    <row r="31" hidden="1" ht="36.5" customFormat="1" customHeight="1" s="34">
      <c r="A31" s="42" t="n">
        <v>6979</v>
      </c>
      <c r="B31" s="1" t="n"/>
      <c r="C31" s="1" t="n"/>
      <c r="D31" s="1" t="n"/>
      <c r="E31" s="1" t="n"/>
      <c r="F31" s="43" t="n"/>
      <c r="G31" s="49" t="n"/>
      <c r="H31" s="43" t="n"/>
      <c r="I31" s="49" t="n"/>
      <c r="J31" s="41" t="n"/>
      <c r="K31" s="44" t="n"/>
      <c r="L31" s="41">
        <f>J31-K31</f>
        <v/>
      </c>
      <c r="M31" s="120" t="inlineStr">
        <is>
          <t>Being given in lieu of B302-40h given</t>
        </is>
      </c>
    </row>
    <row r="32" hidden="1" ht="36.5" customFormat="1" customHeight="1" s="34">
      <c r="A32" s="42" t="inlineStr">
        <is>
          <t>B725</t>
        </is>
      </c>
      <c r="B32" s="119" t="n">
        <v>1</v>
      </c>
      <c r="C32" s="1" t="n"/>
      <c r="D32" s="1" t="n"/>
      <c r="E32" s="1" t="n"/>
      <c r="F32" s="43" t="n"/>
      <c r="G32" s="43" t="n"/>
      <c r="H32" s="33" t="n">
        <v>4</v>
      </c>
      <c r="I32" s="33" t="n"/>
      <c r="J32" s="41">
        <f>SUM(G32:I32)</f>
        <v/>
      </c>
      <c r="K32" s="54" t="n"/>
      <c r="L32" s="41">
        <f>J32-K32</f>
        <v/>
      </c>
      <c r="M32" s="120" t="inlineStr">
        <is>
          <t xml:space="preserve"> Flowserve-rev. of Test Repts -11/4(0.5d)</t>
        </is>
      </c>
    </row>
    <row r="33" hidden="1" customFormat="1" s="34">
      <c r="A33" s="35" t="inlineStr">
        <is>
          <t>B767</t>
        </is>
      </c>
      <c r="B33" s="33" t="n">
        <v>1</v>
      </c>
      <c r="C33" s="33" t="n"/>
      <c r="D33" s="33" t="n"/>
      <c r="E33" s="33" t="n"/>
      <c r="F33" s="36" t="n"/>
      <c r="G33" s="36" t="n"/>
      <c r="H33" s="33" t="n"/>
      <c r="I33" s="33" t="n">
        <v>8</v>
      </c>
      <c r="J33" s="41">
        <f>SUM(G33:I33)</f>
        <v/>
      </c>
      <c r="K33" s="41" t="n"/>
      <c r="L33" s="41">
        <f>J33-K33</f>
        <v/>
      </c>
      <c r="M33" s="120" t="inlineStr">
        <is>
          <t>Rev. of Methodology - 8h</t>
        </is>
      </c>
    </row>
    <row r="34" hidden="1" ht="14.5" customFormat="1" customHeight="1" s="34">
      <c r="A34" s="42" t="inlineStr">
        <is>
          <t>B795</t>
        </is>
      </c>
      <c r="B34" s="1" t="n"/>
      <c r="C34" s="1" t="n"/>
      <c r="D34" s="1" t="n"/>
      <c r="E34" s="1" t="n"/>
      <c r="F34" s="43" t="n"/>
      <c r="G34" s="1" t="n"/>
      <c r="H34" s="33" t="n"/>
      <c r="I34" s="33" t="n"/>
      <c r="J34" s="41" t="n"/>
      <c r="K34" s="44" t="n"/>
      <c r="L34" s="41">
        <f>J34-K34</f>
        <v/>
      </c>
      <c r="M34" s="120" t="inlineStr">
        <is>
          <t xml:space="preserve"> Essenar t/f QAP appl (9/3)</t>
        </is>
      </c>
    </row>
    <row r="35" hidden="1" ht="14.5" customFormat="1" customHeight="1" s="34">
      <c r="A35" s="42" t="inlineStr">
        <is>
          <t>B903</t>
        </is>
      </c>
      <c r="B35" s="119" t="n">
        <v>2</v>
      </c>
      <c r="C35" s="1" t="n"/>
      <c r="D35" s="1" t="n"/>
      <c r="E35" s="1" t="n"/>
      <c r="F35" s="43" t="n"/>
      <c r="G35" s="1" t="n"/>
      <c r="H35" s="33" t="n">
        <v>4</v>
      </c>
      <c r="I35" s="33" t="n"/>
      <c r="J35" s="41">
        <f>SUM(G35:I35)</f>
        <v/>
      </c>
      <c r="K35" s="44" t="n">
        <v>10</v>
      </c>
      <c r="L35" s="41">
        <f>J35-K35</f>
        <v/>
      </c>
      <c r="M35" s="121" t="inlineStr">
        <is>
          <t>2 Orders -10h rel on 2/7[10]</t>
        </is>
      </c>
      <c r="N35" s="121" t="n"/>
      <c r="O35" s="121" t="n"/>
      <c r="P35" s="121" t="n"/>
    </row>
    <row r="36" hidden="1" ht="14.5" customFormat="1" customHeight="1" s="34">
      <c r="A36" s="42" t="inlineStr">
        <is>
          <t>B904</t>
        </is>
      </c>
      <c r="B36" s="119" t="n">
        <v>1</v>
      </c>
      <c r="C36" s="1" t="n"/>
      <c r="D36" s="1" t="n"/>
      <c r="E36" s="1" t="n"/>
      <c r="F36" s="43" t="n"/>
      <c r="G36" s="1" t="n"/>
      <c r="H36" s="33" t="n">
        <v>2</v>
      </c>
      <c r="I36" s="33" t="n"/>
      <c r="J36" s="41">
        <f>SUM(G36:I36)</f>
        <v/>
      </c>
      <c r="K36" s="44" t="n">
        <v>4</v>
      </c>
      <c r="L36" s="41">
        <f>J36-K36</f>
        <v/>
      </c>
      <c r="M36" s="120" t="inlineStr">
        <is>
          <t>1 Order -4h rel on 2/7[4]</t>
        </is>
      </c>
    </row>
    <row r="37" hidden="1" s="125">
      <c r="A37" s="50" t="inlineStr">
        <is>
          <t>TOTAL</t>
        </is>
      </c>
      <c r="B37" s="1" t="n"/>
      <c r="C37" s="1" t="n"/>
      <c r="D37" s="1" t="n"/>
      <c r="E37" s="1" t="n"/>
      <c r="F37" s="43" t="n"/>
      <c r="G37" s="3">
        <f>SUM(G4:G36)</f>
        <v/>
      </c>
      <c r="H37" s="3">
        <f>SUM(H4:H36)</f>
        <v/>
      </c>
      <c r="I37" s="3">
        <f>SUM(I4:I36)</f>
        <v/>
      </c>
      <c r="J37" s="3">
        <f>SUM(J4:J36)</f>
        <v/>
      </c>
      <c r="K37" s="3">
        <f>SUM(K4:K34)</f>
        <v/>
      </c>
      <c r="L37" s="3">
        <f>J37-K37</f>
        <v/>
      </c>
    </row>
    <row r="38">
      <c r="A38" s="55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55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55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55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24" t="inlineStr">
        <is>
          <t xml:space="preserve">Guidelines : </t>
        </is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</row>
    <row r="43">
      <c r="A43" s="26" t="inlineStr">
        <is>
          <t>1. Inspection Visit including review and endorsement of final documents: At  actual</t>
        </is>
      </c>
      <c r="B43" s="26" t="n"/>
    </row>
    <row r="44">
      <c r="A44" s="26" t="inlineStr">
        <is>
          <t xml:space="preserve">2. Expediting and preparation of expediting report: Average 2 hours /month /order ( No separate man hours for coordination ) </t>
        </is>
      </c>
    </row>
    <row r="45">
      <c r="A45" s="26" t="inlineStr">
        <is>
          <t xml:space="preserve">3. Expediting visit/ Attending meeting with project/.Client: At  actual </t>
        </is>
      </c>
    </row>
    <row r="46">
      <c r="A46" s="26" t="inlineStr">
        <is>
          <t xml:space="preserve">4. Review of ITP  for Bulk items  under package order: Average 1 hour/ ITP ( No man hours for standard EIL  ITP being used by the supplier/Contractor) </t>
        </is>
      </c>
    </row>
    <row r="47">
      <c r="A47" s="26" t="inlineStr">
        <is>
          <t xml:space="preserve">5. Review of ITP for Equipment (Mechanical and Electrical/DCS etc): Average 2 hours/order </t>
        </is>
      </c>
    </row>
    <row r="48">
      <c r="A48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49">
      <c r="A49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0">
      <c r="A50" s="26" t="inlineStr">
        <is>
          <t xml:space="preserve">8. Order Closing report: Average 2 hours/Order  </t>
        </is>
      </c>
    </row>
  </sheetData>
  <autoFilter ref="A2:L37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mergeCells count="29">
    <mergeCell ref="M36:P36"/>
    <mergeCell ref="M27:P27"/>
    <mergeCell ref="M24:P24"/>
    <mergeCell ref="M5:T5"/>
    <mergeCell ref="M32:P32"/>
    <mergeCell ref="M23:P23"/>
    <mergeCell ref="M11:T11"/>
    <mergeCell ref="M34:P34"/>
    <mergeCell ref="M26:R26"/>
    <mergeCell ref="M22:T22"/>
    <mergeCell ref="M9:P9"/>
    <mergeCell ref="M16:T16"/>
    <mergeCell ref="M6:T6"/>
    <mergeCell ref="M12:T12"/>
    <mergeCell ref="M15:T15"/>
    <mergeCell ref="M10:P10"/>
    <mergeCell ref="M17:T17"/>
    <mergeCell ref="M31:P31"/>
    <mergeCell ref="M13:P13"/>
    <mergeCell ref="M18:P18"/>
    <mergeCell ref="M7:P7"/>
    <mergeCell ref="M25:P25"/>
    <mergeCell ref="M14:T14"/>
    <mergeCell ref="M21:P21"/>
    <mergeCell ref="M30:P30"/>
    <mergeCell ref="M19:T19"/>
    <mergeCell ref="M4:T4"/>
    <mergeCell ref="M20:R20"/>
    <mergeCell ref="M33:P33"/>
  </mergeCells>
  <hyperlinks>
    <hyperlink xmlns:r="http://schemas.openxmlformats.org/officeDocument/2006/relationships" ref="M24" display="Insp@MIL on 9/12" r:id="rId1"/>
  </hyperlinks>
  <pageMargins left="0.7" right="0.7" top="0.75" bottom="0.75" header="0.3" footer="0.3"/>
  <pageSetup orientation="landscape" scale="7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topLeftCell="A39" zoomScale="81" zoomScaleNormal="81" workbookViewId="0">
      <selection activeCell="B41" sqref="B41"/>
    </sheetView>
  </sheetViews>
  <sheetFormatPr baseColWidth="8" defaultRowHeight="14.5"/>
  <cols>
    <col width="12.453125" customWidth="1" style="4" min="1" max="1"/>
    <col width="10.54296875" customWidth="1" style="125" min="2" max="2"/>
    <col width="17.08984375" customWidth="1" style="125" min="9" max="9"/>
    <col width="15" customWidth="1" style="125" min="13" max="15"/>
  </cols>
  <sheetData>
    <row r="1">
      <c r="A1" s="118" t="inlineStr">
        <is>
          <t>Consolidated man hour requirement  for May'25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>
      <c r="A2" s="52">
        <f>(21*8*6)</f>
        <v/>
      </c>
      <c r="B2" s="111" t="n"/>
      <c r="C2" s="111" t="n"/>
      <c r="D2" s="111" t="n"/>
      <c r="E2" s="111" t="n"/>
      <c r="F2" s="111" t="n"/>
      <c r="G2" s="111" t="n"/>
      <c r="H2" s="111" t="n"/>
      <c r="I2" s="112" t="n"/>
      <c r="J2" s="1" t="n"/>
      <c r="K2" s="111" t="n"/>
      <c r="L2" s="111" t="n"/>
      <c r="M2" s="112" t="n"/>
    </row>
    <row r="3" ht="41.25" customHeight="1" s="125">
      <c r="A3" s="3" t="inlineStr">
        <is>
          <t>Job No</t>
        </is>
      </c>
      <c r="B3" s="3" t="inlineStr">
        <is>
          <t>No. of orders</t>
        </is>
      </c>
      <c r="C3" s="3" t="inlineStr">
        <is>
          <t>Exp.</t>
        </is>
      </c>
      <c r="D3" s="3" t="inlineStr">
        <is>
          <t>Inspn</t>
        </is>
      </c>
      <c r="E3" s="9" t="inlineStr">
        <is>
          <t>Others</t>
        </is>
      </c>
      <c r="F3" s="3" t="inlineStr">
        <is>
          <t>Total</t>
        </is>
      </c>
      <c r="G3" s="1" t="inlineStr">
        <is>
          <t>*Others/ Remarks</t>
        </is>
      </c>
      <c r="H3" s="111" t="n"/>
      <c r="I3" s="112" t="n"/>
      <c r="J3" s="110" t="inlineStr">
        <is>
          <t>Insp/ Project Coordinators</t>
        </is>
      </c>
      <c r="K3" s="111" t="n"/>
      <c r="L3" s="111" t="n"/>
      <c r="M3" s="112" t="n"/>
      <c r="N3" s="2" t="inlineStr">
        <is>
          <t xml:space="preserve">MH available as on </t>
        </is>
      </c>
      <c r="O3" s="5" t="inlineStr">
        <is>
          <t>MH to be released for May'25</t>
        </is>
      </c>
      <c r="P3" t="inlineStr">
        <is>
          <t>Allotted</t>
        </is>
      </c>
      <c r="Q3" t="inlineStr">
        <is>
          <t>8518 reqd</t>
        </is>
      </c>
    </row>
    <row r="4" ht="51.5" customHeight="1" s="125">
      <c r="A4" s="29" t="n">
        <v>4994</v>
      </c>
      <c r="B4" s="3" t="n">
        <v>3</v>
      </c>
      <c r="C4" s="3" t="n"/>
      <c r="D4" s="3" t="n"/>
      <c r="E4" s="9">
        <f>8*4</f>
        <v/>
      </c>
      <c r="F4" s="3">
        <f>SUM(C4:E4)</f>
        <v/>
      </c>
      <c r="G4" s="62" t="inlineStr">
        <is>
          <t>Reval:Lighting Tech(2/5);Enl.:SBEE(7/5);Visit to CPRI for C&amp;S type test &amp; Interaction with Balaji Electro Controls for potential supplier (1d)</t>
        </is>
      </c>
      <c r="H4" s="63" t="n"/>
      <c r="I4" s="64" t="n"/>
      <c r="J4" s="110" t="inlineStr">
        <is>
          <t>Rajesh Sinha</t>
        </is>
      </c>
      <c r="K4" s="111" t="n"/>
      <c r="L4" s="111" t="n"/>
      <c r="M4" s="112" t="n"/>
      <c r="N4" s="3" t="n">
        <v>0</v>
      </c>
      <c r="O4" s="3" t="n">
        <v>32</v>
      </c>
      <c r="P4" t="n">
        <v>0</v>
      </c>
      <c r="Q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27/5[4310];32h rel on 25/6[4342]</t>
        </is>
      </c>
    </row>
    <row r="5" ht="46" customHeight="1" s="125">
      <c r="A5" s="3" t="n">
        <v>6979</v>
      </c>
      <c r="B5" s="3" t="n"/>
      <c r="C5" s="3" t="n"/>
      <c r="D5" s="3" t="n"/>
      <c r="E5" s="9" t="n"/>
      <c r="F5" s="3" t="n">
        <v>0</v>
      </c>
      <c r="G5" s="56" t="n"/>
      <c r="H5" s="56" t="n"/>
      <c r="I5" s="56" t="n"/>
      <c r="J5" s="110" t="n"/>
      <c r="K5" s="111" t="n"/>
      <c r="L5" s="111" t="n"/>
      <c r="M5" s="112" t="n"/>
      <c r="N5" s="3" t="n"/>
      <c r="O5" s="3" t="n"/>
      <c r="Q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29" t="n">
        <v>7716</v>
      </c>
      <c r="B6" s="3" t="n"/>
      <c r="C6" s="3" t="n"/>
      <c r="D6" s="3" t="n">
        <v>0</v>
      </c>
      <c r="E6" s="9">
        <f>8*0</f>
        <v/>
      </c>
      <c r="F6" s="3">
        <f>SUM(C6:E6)</f>
        <v/>
      </c>
      <c r="G6" s="62" t="n"/>
      <c r="H6" s="63" t="n"/>
      <c r="I6" s="64" t="n"/>
      <c r="J6" s="110" t="inlineStr">
        <is>
          <t>Sanjeev Kumar/ Yatendra Agrawal - EIB Renovation</t>
        </is>
      </c>
      <c r="K6" s="111" t="n"/>
      <c r="L6" s="111" t="n"/>
      <c r="M6" s="112" t="n"/>
      <c r="N6" s="3" t="n"/>
      <c r="O6" s="3" t="n"/>
      <c r="P6" t="inlineStr">
        <is>
          <t>16h rel on 9/4 against Climaveneta order referred in 8590 above [28]</t>
        </is>
      </c>
    </row>
    <row r="7" ht="123" customHeight="1" s="125">
      <c r="A7" s="29" t="n">
        <v>8518</v>
      </c>
      <c r="B7" s="3" t="n">
        <v>0</v>
      </c>
      <c r="C7" s="3" t="n">
        <v>0</v>
      </c>
      <c r="D7" s="3" t="n">
        <v>0</v>
      </c>
      <c r="E7" s="9" t="n"/>
      <c r="F7" s="3" t="n">
        <v>200</v>
      </c>
      <c r="G7" s="62" t="inlineStr">
        <is>
          <t>Admin works,Insp Guidelines/Typ Test review/ITP revision(E&amp;I ITPS)/Std. Spec review-mtgs with Inst. Engg. on Cryo Test Procedure &amp; Flow Meter MR improvements,other miscellaneous works incl. Dept Mtg, Office enhancement efforts,Short Term Contracts, New Facility Mgmt Tender requirements freeze etc.,Mktg leads, Hosp Nomination;ITP for Aircooled Exchangers &amp; Wiremesh Demister-12/5,Heat Exch &amp;Columns-13/5+3 ITPs for Vessels/Columns/Reactors (30/5)</t>
        </is>
      </c>
      <c r="H7" s="63" t="n"/>
      <c r="I7" s="64" t="n"/>
      <c r="J7" s="110" t="inlineStr">
        <is>
          <t xml:space="preserve"> Tech Develop &amp; OH</t>
        </is>
      </c>
      <c r="K7" s="111" t="n"/>
      <c r="L7" s="111" t="n"/>
      <c r="M7" s="112" t="n"/>
      <c r="N7" s="3" t="n">
        <v>300</v>
      </c>
      <c r="O7" s="3" t="n"/>
      <c r="Q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</t>
        </is>
      </c>
    </row>
    <row r="8" ht="123" customHeight="1" s="125">
      <c r="A8" s="3" t="n">
        <v>8590</v>
      </c>
      <c r="B8" s="3" t="n"/>
      <c r="C8" s="3" t="n"/>
      <c r="D8" s="3" t="n">
        <v>0</v>
      </c>
      <c r="E8" s="9" t="n"/>
      <c r="F8" s="3">
        <f>SUM(C8:E8)</f>
        <v/>
      </c>
      <c r="G8" s="56" t="n"/>
      <c r="H8" s="60" t="n"/>
      <c r="I8" s="61" t="n"/>
      <c r="J8" s="110" t="n"/>
      <c r="K8" s="111" t="n"/>
      <c r="L8" s="111" t="n"/>
      <c r="M8" s="112" t="n"/>
      <c r="N8" s="3" t="n"/>
      <c r="O8" s="3" t="n"/>
    </row>
    <row r="9" ht="41.25" customHeight="1" s="125">
      <c r="A9" s="29" t="inlineStr">
        <is>
          <t>B016</t>
        </is>
      </c>
      <c r="B9" s="3" t="n">
        <v>0</v>
      </c>
      <c r="C9" s="3" t="n">
        <v>0</v>
      </c>
      <c r="D9" s="3" t="n"/>
      <c r="E9" s="9" t="n">
        <v>0</v>
      </c>
      <c r="F9" s="3" t="n">
        <v>0</v>
      </c>
      <c r="G9" s="57" t="inlineStr">
        <is>
          <t xml:space="preserve"> </t>
        </is>
      </c>
      <c r="H9" s="58" t="inlineStr">
        <is>
          <t xml:space="preserve"> </t>
        </is>
      </c>
      <c r="I9" s="59" t="inlineStr">
        <is>
          <t xml:space="preserve"> </t>
        </is>
      </c>
      <c r="J9" s="110" t="inlineStr">
        <is>
          <t>Uday Pratap Singh/Pankaj Saxena/Alok Singh</t>
        </is>
      </c>
      <c r="K9" s="111" t="n"/>
      <c r="L9" s="111" t="n"/>
      <c r="M9" s="112" t="n"/>
      <c r="N9" s="2" t="n"/>
      <c r="O9" s="5" t="n"/>
      <c r="Q9" t="inlineStr">
        <is>
          <t>10h issued on 2/5[1714];16h rel on 2/7[1722];8h rel on 12/9[1730] for VFD</t>
        </is>
      </c>
    </row>
    <row r="10" ht="83.5" customHeight="1" s="125">
      <c r="A10" s="28" t="inlineStr">
        <is>
          <t>B035</t>
        </is>
      </c>
      <c r="B10" s="3" t="n">
        <v>1</v>
      </c>
      <c r="C10" s="3">
        <f>1*8</f>
        <v/>
      </c>
      <c r="D10" s="3" t="n">
        <v>0</v>
      </c>
      <c r="E10" s="12" t="n">
        <v>0</v>
      </c>
      <c r="F10" s="3">
        <f>C10+D10+E10</f>
        <v/>
      </c>
      <c r="G10" s="126" t="inlineStr">
        <is>
          <t>Expediting - Greensol;</t>
        </is>
      </c>
      <c r="H10" s="111" t="n"/>
      <c r="I10" s="112" t="n"/>
      <c r="J10" s="110" t="inlineStr">
        <is>
          <t>Saeed Akhtar/ D Jana</t>
        </is>
      </c>
      <c r="K10" s="111" t="n"/>
      <c r="L10" s="111" t="n"/>
      <c r="M10" s="112" t="n"/>
      <c r="N10" s="3" t="n">
        <v>0</v>
      </c>
      <c r="O10" s="3">
        <f>F10-N10</f>
        <v/>
      </c>
      <c r="P10" t="inlineStr">
        <is>
          <t xml:space="preserve"> </t>
        </is>
      </c>
      <c r="Q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28" t="inlineStr">
        <is>
          <t>B038</t>
        </is>
      </c>
      <c r="B11" s="3" t="n">
        <v>1</v>
      </c>
      <c r="C11" s="3">
        <f>2*B11</f>
        <v/>
      </c>
      <c r="D11" s="3" t="n">
        <v>0</v>
      </c>
      <c r="E11" s="9" t="n">
        <v>0</v>
      </c>
      <c r="F11" s="3">
        <f>C11+D11+E11</f>
        <v/>
      </c>
      <c r="G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</t>
        </is>
      </c>
      <c r="H11" s="111" t="n"/>
      <c r="I11" s="112" t="n"/>
      <c r="J11" s="110" t="inlineStr">
        <is>
          <t>Himanghsu Pal/Sanjeev Kumar/Aasheesh Handa</t>
        </is>
      </c>
      <c r="K11" s="111" t="n"/>
      <c r="L11" s="111" t="n"/>
      <c r="M11" s="112" t="n"/>
      <c r="N11" s="3" t="n">
        <v>0</v>
      </c>
      <c r="O11" s="3">
        <f>F11-N11</f>
        <v/>
      </c>
      <c r="Q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28" t="inlineStr">
        <is>
          <t>B058</t>
        </is>
      </c>
      <c r="B12" s="3" t="n">
        <v>1</v>
      </c>
      <c r="C12" s="3" t="n">
        <v>0</v>
      </c>
      <c r="D12" s="3" t="n"/>
      <c r="E12" s="9" t="n"/>
      <c r="F12" s="3" t="n">
        <v>0</v>
      </c>
      <c r="G12" s="56" t="inlineStr">
        <is>
          <t xml:space="preserve"> </t>
        </is>
      </c>
      <c r="H12" s="60" t="n"/>
      <c r="I12" s="61" t="n"/>
      <c r="J12" s="110" t="inlineStr">
        <is>
          <t>Patra/Sanjay Dhuria</t>
        </is>
      </c>
      <c r="K12" s="111" t="n"/>
      <c r="L12" s="111" t="n"/>
      <c r="M12" s="112" t="n"/>
      <c r="N12" s="3" t="n"/>
      <c r="O12" s="3" t="n"/>
      <c r="Q12" t="inlineStr">
        <is>
          <t>8h rel on 1/8</t>
        </is>
      </c>
    </row>
    <row r="13" ht="83.5" customHeight="1" s="125">
      <c r="A13" s="28" t="inlineStr">
        <is>
          <t>B224</t>
        </is>
      </c>
      <c r="B13" s="3" t="n">
        <v>1</v>
      </c>
      <c r="C13" s="3" t="inlineStr">
        <is>
          <t xml:space="preserve"> </t>
        </is>
      </c>
      <c r="D13" s="3" t="inlineStr">
        <is>
          <t xml:space="preserve"> </t>
        </is>
      </c>
      <c r="E13" s="9" t="n"/>
      <c r="F13" s="3">
        <f>8*9.5</f>
        <v/>
      </c>
      <c r="G13" s="62" t="inlineStr">
        <is>
          <t>Tecnip/Micon -insp- 22/5(1d);L&amp;T/YIL-Wireless Insts- 30/5(1d);L&amp;T/YIL Moist Anal Rev/IRN end.- 1/5 (0.5d);JSW-Rev/IRN end of Elec Pkg-6/5 (1d);MEIL-SRU/Cords&amp;KEC QAP rev -8/5(0.5d);Megha/PPU-All elec. Items TPI IRN rev-6/5(1d);Meil-SRU- Mass FM,Mag FM -QAP rev-21/5(1d);Meil/SRU/Nexon Cable QAP rev-27/5(0.5d);MEIL/SRU-PRV QAP-19/5(0.5d);Meil/SRU/Chabi-QAP-27/5(0.5d);</t>
        </is>
      </c>
      <c r="H13" s="63" t="n"/>
      <c r="I13" s="64" t="n"/>
      <c r="J13" s="110" t="inlineStr">
        <is>
          <t>Mr Dipak Panchal / Mr Sunil Saurabh/ Mr R.K.Mohabe/Neena Mukherjee</t>
        </is>
      </c>
      <c r="K13" s="111" t="n"/>
      <c r="L13" s="111" t="n"/>
      <c r="M13" s="112" t="n"/>
      <c r="N13" s="3" t="n">
        <v>0</v>
      </c>
      <c r="O13" s="3" t="n">
        <v>56</v>
      </c>
      <c r="Q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28" t="inlineStr">
        <is>
          <t>B229</t>
        </is>
      </c>
      <c r="B14" s="3" t="n">
        <v>0</v>
      </c>
      <c r="C14" s="3">
        <f>2*B14</f>
        <v/>
      </c>
      <c r="D14" s="3" t="n"/>
      <c r="E14" s="9" t="n">
        <v>0</v>
      </c>
      <c r="F14" s="3">
        <f>SUM(C14:E14)</f>
        <v/>
      </c>
      <c r="G14" s="62" t="n"/>
      <c r="H14" s="63" t="n"/>
      <c r="I14" s="64" t="n"/>
      <c r="J14" s="110" t="inlineStr">
        <is>
          <t>Patra/JPS Kalra/DK Kesri</t>
        </is>
      </c>
      <c r="K14" s="111" t="n"/>
      <c r="L14" s="111" t="n"/>
      <c r="M14" s="112" t="n"/>
      <c r="N14" s="3" t="n"/>
      <c r="O14" s="3" t="n"/>
      <c r="Q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28" t="inlineStr">
        <is>
          <t>B269</t>
        </is>
      </c>
      <c r="B15" s="3" t="n">
        <v>17</v>
      </c>
      <c r="C15" s="3">
        <f>2*B15+4*2</f>
        <v/>
      </c>
      <c r="D15" s="3">
        <f>8*6.5</f>
        <v/>
      </c>
      <c r="E15" s="9">
        <f>8*3</f>
        <v/>
      </c>
      <c r="F15" s="3">
        <f>SUM(C15:E15)</f>
        <v/>
      </c>
      <c r="G15" s="62" t="inlineStr">
        <is>
          <t>12 running orders+ 4Orders FD sub expediting+1OCS; Critical Item Insp - YIL- RHCU FAT- 5d (28/4-2/5-(5d); BDK visit- 21-23/5(3d)-posting for expediting rectification/replacement of valves recd.frm site;YIL-1415- RHCU FAT compl- 29/5(1d);Cables Rev/IRN endor - 28/5(0.5d);For Apr+May-38mh rel on 19/6 (against 104+118=222h sought)[1476];Another 100mh rel on 20/6[1576]</t>
        </is>
      </c>
      <c r="H15" s="63" t="n"/>
      <c r="I15" s="64" t="n"/>
      <c r="J15" s="110" t="inlineStr">
        <is>
          <t>Chandrashekhar/Rajesh Bhatla/Arun Singh Arya/Sanjay Chaudhary</t>
        </is>
      </c>
      <c r="K15" s="111" t="n"/>
      <c r="L15" s="111" t="n"/>
      <c r="M15" s="112" t="n"/>
      <c r="N15" s="3" t="n">
        <v>0</v>
      </c>
      <c r="O15" s="3" t="n"/>
      <c r="Q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</t>
        </is>
      </c>
    </row>
    <row r="16" ht="51.5" customHeight="1" s="125">
      <c r="A16" s="28" t="inlineStr">
        <is>
          <t>B285</t>
        </is>
      </c>
      <c r="B16" s="3" t="n"/>
      <c r="C16" s="3" t="n"/>
      <c r="D16" s="3" t="n"/>
      <c r="E16" s="9" t="n"/>
      <c r="F16" s="3" t="n">
        <v>0</v>
      </c>
      <c r="G16" s="56" t="inlineStr">
        <is>
          <t xml:space="preserve"> </t>
        </is>
      </c>
      <c r="H16" s="60" t="n"/>
      <c r="I16" s="61" t="n"/>
      <c r="J16" s="110" t="inlineStr">
        <is>
          <t>Sanjeev Kumar/Vikalp Paliwal</t>
        </is>
      </c>
      <c r="K16" s="111" t="n"/>
      <c r="L16" s="111" t="n"/>
      <c r="M16" s="112" t="n"/>
      <c r="N16" s="3" t="n"/>
      <c r="O16" s="3" t="n"/>
    </row>
    <row r="17" ht="112" customHeight="1" s="125">
      <c r="A17" s="28" t="inlineStr">
        <is>
          <t>B297</t>
        </is>
      </c>
      <c r="B17" s="3" t="n">
        <v>6</v>
      </c>
      <c r="C17" s="3">
        <f>7*2+4</f>
        <v/>
      </c>
      <c r="D17" s="3" t="n">
        <v>8</v>
      </c>
      <c r="E17" s="9" t="n">
        <v>0</v>
      </c>
      <c r="F17" s="3">
        <f>SUM(C17:E17)</f>
        <v/>
      </c>
      <c r="G17" s="62" t="inlineStr">
        <is>
          <t>Exp-6 ord-4 runn ord, 2-FD sub exp; Insp: B297/308 (23/5 - 1d)</t>
        </is>
      </c>
      <c r="H17" s="63" t="n"/>
      <c r="I17" s="64" t="n"/>
      <c r="J17" s="110" t="inlineStr">
        <is>
          <t>Chandrashekar/NS Vasudev/Manish Tiwari - GAIL Pata</t>
        </is>
      </c>
      <c r="K17" s="111" t="n"/>
      <c r="L17" s="111" t="n"/>
      <c r="M17" s="112" t="n"/>
      <c r="N17" s="3" t="n">
        <v>10</v>
      </c>
      <c r="O17" s="3" t="n"/>
      <c r="Q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28" t="inlineStr">
        <is>
          <t>B302</t>
        </is>
      </c>
      <c r="B18" s="3" t="n">
        <v>4</v>
      </c>
      <c r="C18" s="3">
        <f>2*4+4*2</f>
        <v/>
      </c>
      <c r="D18" s="3">
        <f>8*6</f>
        <v/>
      </c>
      <c r="E18" s="9" t="n">
        <v>16</v>
      </c>
      <c r="F18" s="3">
        <f>SUM(C18:E18)</f>
        <v/>
      </c>
      <c r="G18" s="62" t="inlineStr">
        <is>
          <t>4 Running orders ; 8731-KEPL/TMEIC-Drives insp- 22-27/5 (5d);2162-KSBMIL-26/5(1d);Shirdi Sai -Online mtg/clarifications</t>
        </is>
      </c>
      <c r="H18" s="63" t="n"/>
      <c r="I18" s="64" t="n"/>
      <c r="J18" s="110" t="inlineStr">
        <is>
          <t>Suresh/D Jana(302-1)/Sivakumar(302-2)/Abhishek Rai/Balbir Singh (01-P/L &amp; 02- COT) - pump order - 02; FOA also to incl. Unit no for correlation</t>
        </is>
      </c>
      <c r="K18" s="111" t="n"/>
      <c r="L18" s="111" t="n"/>
      <c r="M18" s="112" t="n"/>
      <c r="N18" s="3" t="n"/>
      <c r="O18" s="3" t="n"/>
      <c r="Q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28" t="inlineStr">
        <is>
          <t>B348</t>
        </is>
      </c>
      <c r="B19" s="3" t="n">
        <v>15</v>
      </c>
      <c r="C19" s="3">
        <f>2*B19+2*2</f>
        <v/>
      </c>
      <c r="D19" s="3" t="n">
        <v>0</v>
      </c>
      <c r="E19" s="9" t="n">
        <v>0</v>
      </c>
      <c r="F19" s="3">
        <f>SUM(C19:E19)</f>
        <v/>
      </c>
      <c r="G19" s="62" t="inlineStr">
        <is>
          <t>13 Running orders +2OCS</t>
        </is>
      </c>
      <c r="H19" s="62" t="n"/>
      <c r="I19" s="62" t="n"/>
      <c r="J19" s="110" t="inlineStr">
        <is>
          <t>Himangshu/Sanjeev Kumar/Lavish/HarshVardhan</t>
        </is>
      </c>
      <c r="K19" s="111" t="n"/>
      <c r="L19" s="111" t="n"/>
      <c r="M19" s="112" t="n"/>
      <c r="N19" s="3" t="n">
        <v>1</v>
      </c>
      <c r="O19" s="3" t="n"/>
      <c r="Q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15/4[162];22h rel on 4/7/25 for Apr &amp; May [184]</t>
        </is>
      </c>
    </row>
    <row r="20" ht="83.5" customHeight="1" s="125">
      <c r="A20" s="29" t="inlineStr">
        <is>
          <t>B359</t>
        </is>
      </c>
      <c r="B20" s="3" t="n"/>
      <c r="C20" s="3" t="n"/>
      <c r="D20" s="3" t="n">
        <v>0</v>
      </c>
      <c r="E20" s="9" t="n">
        <v>0</v>
      </c>
      <c r="F20" s="3">
        <f>SUM(C20:E20)</f>
        <v/>
      </c>
      <c r="G20" s="62" t="inlineStr">
        <is>
          <t xml:space="preserve"> </t>
        </is>
      </c>
      <c r="H20" s="62" t="n"/>
      <c r="I20" s="62" t="n"/>
      <c r="J20" s="110" t="inlineStr">
        <is>
          <t>Chandrashekhar/Sumanta Mondal/Abhishek/Sarvesh Kumar</t>
        </is>
      </c>
      <c r="K20" s="111" t="n"/>
      <c r="L20" s="111" t="n"/>
      <c r="M20" s="112" t="n"/>
      <c r="N20" s="3" t="n"/>
      <c r="O20" s="3" t="n"/>
      <c r="Q20" t="inlineStr">
        <is>
          <t>24h relsd on 30/3/22;24h relsd on 2/8/2216mh rel on 5/3/25[232]</t>
        </is>
      </c>
    </row>
    <row r="21" ht="118" customHeight="1" s="125">
      <c r="A21" s="28" t="inlineStr">
        <is>
          <t>B378</t>
        </is>
      </c>
      <c r="B21" s="3" t="n">
        <v>20</v>
      </c>
      <c r="C21" s="3">
        <f>2*B21+2*4</f>
        <v/>
      </c>
      <c r="D21" s="3">
        <f>8*13.5</f>
        <v/>
      </c>
      <c r="E21" s="9">
        <f>8*3</f>
        <v/>
      </c>
      <c r="F21" s="3">
        <f>SUM(C21:E21)</f>
        <v/>
      </c>
      <c r="G21" s="62" t="inlineStr">
        <is>
          <t xml:space="preserve"> 20 ord Expediting(incl  7ord FD sub exp); Inspn: YIL(639-U&amp;O/PP FAT))-2,30/5(2d); (706-Rev/IRN end)-3/5(.5d);ABB(569)-29/5(1d);Schneider -PO 725-7-9,28-30,Rev:26/5 (6.5d);Paramount/C&amp;S-8,9,15,16/5(4d);Mtg. with YIL for resolving o/s Hold-ups in FAT &amp; procurement resply;Meeting/rev. of Cryo Test procedure &amp; expediting of o/s issues; Rev. Mtg. @ YIL alongwith Client -9,15,30/5-(2d);</t>
        </is>
      </c>
      <c r="H21" s="62" t="n"/>
      <c r="I21" s="62" t="n"/>
      <c r="J21" s="110" t="inlineStr">
        <is>
          <t>Chandrashekhar/Sumanta Mondal/Ajay Gupta/Rajeev Kr Khandelwal/Prakash Jagarwal/Deepak Dinkar -GAIL Usar</t>
        </is>
      </c>
      <c r="K21" s="111" t="n"/>
      <c r="L21" s="111" t="n"/>
      <c r="M21" s="112" t="n"/>
      <c r="N21" s="3" t="n">
        <v>0</v>
      </c>
      <c r="O21" s="3" t="n"/>
      <c r="Q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</t>
        </is>
      </c>
    </row>
    <row r="22" ht="83.5" customHeight="1" s="125">
      <c r="A22" s="28" t="inlineStr">
        <is>
          <t>B414</t>
        </is>
      </c>
      <c r="B22" s="3" t="n">
        <v>4</v>
      </c>
      <c r="C22" s="3">
        <f>2*B22+1*4</f>
        <v/>
      </c>
      <c r="D22" s="3">
        <f>8*5</f>
        <v/>
      </c>
      <c r="E22" s="9" t="n">
        <v>0</v>
      </c>
      <c r="F22" s="3">
        <f>SUM(C22:E22)</f>
        <v/>
      </c>
      <c r="G22" s="62" t="inlineStr">
        <is>
          <t>4 orders ( incl. 3Running orders &amp; 1FD expediting); Insp: Schneider - Sw Bds - B414/55- 7-9,29,Rev:26/5 (4.5d);Pace process/Schneider  QAP appls.-27/5(0.5d);</t>
        </is>
      </c>
      <c r="H22" s="62" t="n"/>
      <c r="I22" s="62" t="n"/>
      <c r="J22" s="110" t="inlineStr">
        <is>
          <t>Himangshu Pal/ Shnaoli Nath</t>
        </is>
      </c>
      <c r="K22" s="111" t="n"/>
      <c r="L22" s="111" t="n"/>
      <c r="M22" s="112" t="n"/>
      <c r="N22" s="3" t="n"/>
      <c r="O22" s="3" t="n"/>
      <c r="Q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3" ht="83.5" customHeight="1" s="125">
      <c r="A23" s="28" t="inlineStr">
        <is>
          <t>B436</t>
        </is>
      </c>
      <c r="B23" s="3" t="n">
        <v>1</v>
      </c>
      <c r="C23" s="3" t="n">
        <v>2</v>
      </c>
      <c r="D23" s="3" t="n">
        <v>0</v>
      </c>
      <c r="E23" s="9" t="n">
        <v>0</v>
      </c>
      <c r="F23" s="3">
        <f>SUM(C23:E23)</f>
        <v/>
      </c>
      <c r="G23" s="62" t="inlineStr">
        <is>
          <t xml:space="preserve">SCADA order on ABB </t>
        </is>
      </c>
      <c r="H23" s="62" t="n"/>
      <c r="I23" s="62" t="n"/>
      <c r="J23" s="110" t="inlineStr">
        <is>
          <t>T Ravi/Sangram Mishra/NS Vasudev</t>
        </is>
      </c>
      <c r="K23" s="111" t="n"/>
      <c r="L23" s="111" t="n"/>
      <c r="M23" s="112" t="n"/>
      <c r="N23" s="3" t="n"/>
      <c r="O23" s="3" t="n"/>
      <c r="P23" t="inlineStr">
        <is>
          <t>10h rel on 22/5;26h rel on 12/10[38]</t>
        </is>
      </c>
    </row>
    <row r="24" ht="121.5" customHeight="1" s="125">
      <c r="A24" s="28" t="inlineStr">
        <is>
          <t>B440</t>
        </is>
      </c>
      <c r="B24" s="3" t="n">
        <v>16</v>
      </c>
      <c r="C24" s="3">
        <f>2*B24 + 1*4</f>
        <v/>
      </c>
      <c r="D24" s="3" t="n">
        <v>0</v>
      </c>
      <c r="E24" s="9" t="n">
        <v>0</v>
      </c>
      <c r="F24" s="3">
        <f>SUM(C24:E24)</f>
        <v/>
      </c>
      <c r="G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1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</t>
        </is>
      </c>
      <c r="H24" s="62" t="n"/>
      <c r="I24" s="62" t="n"/>
      <c r="J24" s="110" t="inlineStr">
        <is>
          <t>Himangshu Pal/Sanjeev Kumar/Ayush Mathur/Shivaji/VVR Murthy</t>
        </is>
      </c>
      <c r="K24" s="111" t="n"/>
      <c r="L24" s="111" t="n"/>
      <c r="M24" s="112" t="n"/>
      <c r="N24" s="3" t="n"/>
      <c r="O24" s="3" t="n"/>
      <c r="P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5" ht="83.5" customHeight="1" s="125">
      <c r="A25" s="28" t="inlineStr">
        <is>
          <t>B448</t>
        </is>
      </c>
      <c r="B25" s="3" t="n">
        <v>1</v>
      </c>
      <c r="C25" s="3" t="n">
        <v>0</v>
      </c>
      <c r="D25" s="3">
        <f>8*6</f>
        <v/>
      </c>
      <c r="E25" s="9" t="n">
        <v>0</v>
      </c>
      <c r="F25" s="3">
        <f>SUM(C25:E25)</f>
        <v/>
      </c>
      <c r="G25" s="62" t="inlineStr">
        <is>
          <t xml:space="preserve"> Insp. &amp; exp. Of Direct ordered items; For LSTK, insp@ payment on manday item rate;resolution of queries on insp from bid till compln. Of pjt;expediting, if reqd. by Owner - Plant Automation tender on ABB - Plant Automation FAT-20-23, 28/5(5.5d); Valves- QAP rev. 15/5(0.5d)</t>
        </is>
      </c>
      <c r="H25" s="62" t="n"/>
      <c r="I25" s="62" t="n"/>
      <c r="J25" s="110" t="inlineStr">
        <is>
          <t>Himangshu Pal/Sanjeev Kumar/UK Mishra/NS Vasudev</t>
        </is>
      </c>
      <c r="K25" s="111" t="n"/>
      <c r="L25" s="111" t="n"/>
      <c r="M25" s="112" t="n"/>
      <c r="N25" s="3" t="n"/>
      <c r="O25" s="3" t="n"/>
      <c r="Q25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21/4[192];60h rel on 8/7[252]</t>
        </is>
      </c>
    </row>
    <row r="26" ht="83.5" customHeight="1" s="125">
      <c r="A26" s="29" t="inlineStr">
        <is>
          <t>B519</t>
        </is>
      </c>
      <c r="B26" s="3" t="n">
        <v>3</v>
      </c>
      <c r="C26" s="3">
        <f>2*B26+1*4</f>
        <v/>
      </c>
      <c r="D26" s="3" t="n">
        <v>0</v>
      </c>
      <c r="E26" s="9" t="n">
        <v>0</v>
      </c>
      <c r="F26" s="3">
        <f>SUM(C26:E26)</f>
        <v/>
      </c>
      <c r="G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</t>
        </is>
      </c>
      <c r="H26" s="62" t="n"/>
      <c r="I26" s="62" t="n"/>
      <c r="J26" s="110" t="inlineStr">
        <is>
          <t>Chandrashekhar/HarshVardan/Prakash Jagarwal/DSNMurty</t>
        </is>
      </c>
      <c r="K26" s="111" t="n"/>
      <c r="L26" s="111" t="n"/>
      <c r="M26" s="112" t="n"/>
      <c r="N26" s="3" t="n"/>
      <c r="O26" s="3" t="n"/>
    </row>
    <row r="27" ht="83.5" customHeight="1" s="125">
      <c r="A27" s="28" t="inlineStr">
        <is>
          <t>B548</t>
        </is>
      </c>
      <c r="B27" s="3" t="n">
        <v>0</v>
      </c>
      <c r="C27" s="3" t="n">
        <v>0</v>
      </c>
      <c r="D27" s="3" t="n">
        <v>0</v>
      </c>
      <c r="E27" s="9" t="n">
        <v>0</v>
      </c>
      <c r="F27" s="3">
        <f>SUM(C27:E27)</f>
        <v/>
      </c>
      <c r="G27" s="62" t="inlineStr">
        <is>
          <t>Alleima- Exchanger - Exp+QAP comments - ITP R1- rev-6/2; Control Panel ITP rev- 7/2; FAT of TCP rev-12/2; Mtg/communications for resolution of issue w.r.t Heating Element MOC - 6,9/2; Nov: 1 OCS + Insp. - Emerson S/o on Microfinish - 27/11 &amp; 20/12</t>
        </is>
      </c>
      <c r="H27" s="62" t="n"/>
      <c r="I27" s="62" t="n"/>
      <c r="J27" s="110" t="inlineStr">
        <is>
          <t>HP/Sanjeev Kr/T Ravi/NS Vasudev/Sanjeev Kr Gupta</t>
        </is>
      </c>
      <c r="K27" s="111" t="n"/>
      <c r="L27" s="111" t="n"/>
      <c r="M27" s="112" t="n"/>
      <c r="N27" s="3" t="n"/>
      <c r="O27" s="3" t="n"/>
      <c r="P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28" t="inlineStr">
        <is>
          <t>B559</t>
        </is>
      </c>
      <c r="B28" s="3" t="n">
        <v>5</v>
      </c>
      <c r="C28" s="3">
        <f>2*B28</f>
        <v/>
      </c>
      <c r="D28" s="3" t="n">
        <v>0</v>
      </c>
      <c r="E28" s="9" t="n">
        <v>0</v>
      </c>
      <c r="F28" s="3">
        <f>SUM(C28:E28)</f>
        <v/>
      </c>
      <c r="G28" s="62" t="inlineStr">
        <is>
          <t>IOCL Biturox,Vad-Proj. Prof. uploaded on 20/3- Desk Expediting - NO OCS; 4 orders expediting</t>
        </is>
      </c>
      <c r="H28" s="62" t="n"/>
      <c r="I28" s="62" t="n"/>
      <c r="J28" s="110" t="inlineStr">
        <is>
          <t xml:space="preserve">Sanjay Choudhary/SK Gayen/RK Gupta </t>
        </is>
      </c>
      <c r="K28" s="111" t="n"/>
      <c r="L28" s="111" t="n"/>
      <c r="M28" s="112" t="n"/>
      <c r="N28" s="3" t="n"/>
      <c r="O28" s="3" t="n"/>
      <c r="P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29" ht="83.5" customHeight="1" s="125">
      <c r="A29" s="29" t="inlineStr">
        <is>
          <t>B560</t>
        </is>
      </c>
      <c r="B29" s="3" t="n">
        <v>13</v>
      </c>
      <c r="C29" s="3">
        <f>2*B29</f>
        <v/>
      </c>
      <c r="D29" s="3" t="n"/>
      <c r="E29" s="9" t="n">
        <v>0</v>
      </c>
      <c r="F29" s="3">
        <f>SUM(C29:E29)</f>
        <v/>
      </c>
      <c r="G29" s="62" t="inlineStr">
        <is>
          <t xml:space="preserve">Req.from ED(I) for expediting on 15/6 - 13 orders (incl.9FD exp &amp; 1 OCS) &amp; OCS also to be made as per latest reqt.; </t>
        </is>
      </c>
      <c r="H29" s="62" t="n"/>
      <c r="I29" s="62" t="n"/>
      <c r="J29" s="110" t="inlineStr">
        <is>
          <t>Chandrashekhar/Vinod Kumar/RK Medhavi</t>
        </is>
      </c>
      <c r="K29" s="111" t="n"/>
      <c r="L29" s="111" t="n"/>
      <c r="M29" s="112" t="n"/>
      <c r="N29" s="3" t="n"/>
      <c r="O29" s="3" t="n"/>
      <c r="P29" t="inlineStr">
        <is>
          <t>100h rel on 23/4</t>
        </is>
      </c>
    </row>
    <row r="30" ht="44" customHeight="1" s="125">
      <c r="A30" s="28" t="inlineStr">
        <is>
          <t>B589</t>
        </is>
      </c>
      <c r="B30" s="3" t="n">
        <v>0</v>
      </c>
      <c r="C30" s="3" t="n">
        <v>0</v>
      </c>
      <c r="D30" s="3" t="n">
        <v>0</v>
      </c>
      <c r="E30" s="9" t="n">
        <v>0</v>
      </c>
      <c r="F30" s="3" t="n">
        <v>0</v>
      </c>
      <c r="G30" s="62" t="n"/>
      <c r="H30" s="62" t="n"/>
      <c r="I30" s="62" t="n"/>
      <c r="J30" s="110" t="inlineStr">
        <is>
          <t>Himangshu Pal/Sanjeev Kr/T Ravi/NS Vasudev/Sanjeev Kr Gupta</t>
        </is>
      </c>
      <c r="K30" s="111" t="n"/>
      <c r="L30" s="111" t="n"/>
      <c r="M30" s="112" t="n"/>
      <c r="N30" s="3" t="n"/>
      <c r="O30" s="3" t="n"/>
      <c r="P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28" t="inlineStr">
        <is>
          <t>B650</t>
        </is>
      </c>
      <c r="B31" s="3" t="n">
        <v>1</v>
      </c>
      <c r="C31" s="3" t="n">
        <v>2</v>
      </c>
      <c r="D31" s="3" t="n"/>
      <c r="E31" s="9" t="n"/>
      <c r="F31" s="3" t="n">
        <v>0</v>
      </c>
      <c r="G31" s="62" t="inlineStr">
        <is>
          <t>No scope for RPO - however, OCS to be done</t>
        </is>
      </c>
      <c r="H31" s="62" t="n"/>
      <c r="I31" s="62" t="n"/>
      <c r="J31" s="110" t="inlineStr">
        <is>
          <t>Sanjay Choudhary/Siddant Kumar</t>
        </is>
      </c>
      <c r="K31" s="111" t="n"/>
      <c r="L31" s="111" t="n"/>
      <c r="M31" s="112" t="n"/>
      <c r="N31" s="3" t="n"/>
      <c r="O31" s="3" t="n"/>
    </row>
    <row r="32" ht="83.5" customHeight="1" s="125">
      <c r="A32" s="28" t="inlineStr">
        <is>
          <t>B653</t>
        </is>
      </c>
      <c r="B32" s="3" t="n">
        <v>14</v>
      </c>
      <c r="C32" s="3">
        <f>2*B32+1*4</f>
        <v/>
      </c>
      <c r="D32" s="3" t="n"/>
      <c r="E32" s="9" t="n">
        <v>8</v>
      </c>
      <c r="F32" s="3">
        <f>SUM(C32:E32)</f>
        <v/>
      </c>
      <c r="G32" s="62" t="inlineStr">
        <is>
          <t>Expediting by RPOs as per email dtd 22/10/24, OCS by RPO as per CS mail dt 17/1; (13 running ord+1OCS);Univ Insts -Rev. mtg &amp; Show Cause Notice issue reco. -8h</t>
        </is>
      </c>
      <c r="H32" s="62" t="n"/>
      <c r="I32" s="62" t="n"/>
      <c r="J32" s="110" t="inlineStr">
        <is>
          <t>Sanjeev Kumar/Aasheesh Handa/Amandeep Kaur</t>
        </is>
      </c>
      <c r="K32" s="111" t="n"/>
      <c r="L32" s="111" t="n"/>
      <c r="M32" s="112" t="n"/>
      <c r="N32" s="3" t="n"/>
      <c r="O32" s="3" t="n"/>
      <c r="P32" t="inlineStr">
        <is>
          <t>40h rel on 9/4/24 [40]</t>
        </is>
      </c>
    </row>
    <row r="33" ht="83.5" customHeight="1" s="125">
      <c r="A33" s="29" t="inlineStr">
        <is>
          <t>B725</t>
        </is>
      </c>
      <c r="B33" s="3" t="n">
        <v>3</v>
      </c>
      <c r="C33" s="3" t="n"/>
      <c r="D33" s="3" t="n">
        <v>0</v>
      </c>
      <c r="E33" s="9" t="n">
        <v>0</v>
      </c>
      <c r="F33" s="3">
        <f>SUM(C33:E33)</f>
        <v/>
      </c>
      <c r="G33" s="62" t="inlineStr">
        <is>
          <t xml:space="preserve">No expediting; </t>
        </is>
      </c>
      <c r="H33" s="62" t="n"/>
      <c r="I33" s="62" t="n"/>
      <c r="J33" s="110" t="inlineStr">
        <is>
          <t>Himangshu/Sanjeev Kumar- Scope: Rev. of ITP,Insp Docs &amp; FD</t>
        </is>
      </c>
      <c r="K33" s="111" t="n"/>
      <c r="L33" s="111" t="n"/>
      <c r="M33" s="112" t="n"/>
      <c r="N33" s="3" t="n"/>
      <c r="O33" s="3" t="n"/>
      <c r="P33" t="inlineStr">
        <is>
          <t>4h sought by BT on 27/5 to Sanjeev Kr</t>
        </is>
      </c>
    </row>
    <row r="34" ht="83.5" customHeight="1" s="125">
      <c r="A34" s="29" t="inlineStr">
        <is>
          <t>B767</t>
        </is>
      </c>
      <c r="B34" s="3" t="n"/>
      <c r="C34" s="3" t="n"/>
      <c r="D34" s="3" t="n">
        <v>0</v>
      </c>
      <c r="E34" s="9" t="n">
        <v>0</v>
      </c>
      <c r="F34" s="3">
        <f>SUM(C34:E34)</f>
        <v/>
      </c>
      <c r="G34" s="62" t="inlineStr">
        <is>
          <t xml:space="preserve"> </t>
        </is>
      </c>
      <c r="H34" s="62" t="n"/>
      <c r="I34" s="62" t="n"/>
      <c r="J34" s="110" t="inlineStr">
        <is>
          <t>Himangshu Pal/Vikalp Paliwal/Balakumar</t>
        </is>
      </c>
      <c r="K34" s="111" t="n"/>
      <c r="L34" s="111" t="n"/>
      <c r="M34" s="112" t="n"/>
      <c r="N34" s="3" t="n"/>
      <c r="O34" s="3" t="n"/>
      <c r="P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29" t="inlineStr">
        <is>
          <t>B795</t>
        </is>
      </c>
      <c r="B35" s="3" t="n"/>
      <c r="C35" s="3" t="n"/>
      <c r="D35" s="3" t="n">
        <v>0</v>
      </c>
      <c r="E35" s="9" t="n"/>
      <c r="F35" s="3">
        <f>SUM(C35:E35)</f>
        <v/>
      </c>
      <c r="G35" s="62" t="n"/>
      <c r="H35" s="62" t="n"/>
      <c r="I35" s="62" t="n"/>
      <c r="J35" s="110" t="inlineStr">
        <is>
          <t>G Suresh/Patra/Uday Pratap/Rajeev Chak/NS Vasudev</t>
        </is>
      </c>
      <c r="K35" s="111" t="n"/>
      <c r="L35" s="111" t="n"/>
      <c r="M35" s="112" t="n"/>
      <c r="N35" s="3" t="n"/>
      <c r="O35" s="3" t="n"/>
      <c r="P35" t="inlineStr">
        <is>
          <t>32h rels. On 12/9;64h on 16/1; addl 100h rel on 20/1 [276]</t>
        </is>
      </c>
    </row>
    <row r="36" ht="83.5" customHeight="1" s="125">
      <c r="A36" s="29" t="inlineStr">
        <is>
          <t>B813</t>
        </is>
      </c>
      <c r="B36" s="3" t="n">
        <v>1</v>
      </c>
      <c r="C36" s="3">
        <f>2*B36</f>
        <v/>
      </c>
      <c r="D36" s="3" t="n"/>
      <c r="E36" s="9" t="n"/>
      <c r="F36" s="3">
        <f>SUM(C36:E36)</f>
        <v/>
      </c>
      <c r="G36" s="62" t="inlineStr">
        <is>
          <t>Expedite &amp; Inspect critical items (list provided in mail dt.29/5/25) EIL on man-day reimbursable basis - 1 order on KSBMIL</t>
        </is>
      </c>
      <c r="H36" s="62" t="n"/>
      <c r="I36" s="62" t="n"/>
      <c r="J36" s="110" t="inlineStr">
        <is>
          <t>Sanjeev Kumar/Raviraj/Shivaji</t>
        </is>
      </c>
      <c r="K36" s="111" t="n"/>
      <c r="L36" s="111" t="n"/>
      <c r="M36" s="112" t="inlineStr">
        <is>
          <t>NRL-Aqueous Ammonia Unit</t>
        </is>
      </c>
      <c r="N36" s="3" t="n"/>
      <c r="O36" s="3" t="n"/>
    </row>
    <row r="37" ht="83.5" customHeight="1" s="125">
      <c r="A37" s="29" t="inlineStr">
        <is>
          <t>B862</t>
        </is>
      </c>
      <c r="B37" s="3" t="n"/>
      <c r="C37" s="3" t="n"/>
      <c r="D37" s="3" t="n"/>
      <c r="E37" s="9" t="n"/>
      <c r="F37" s="3" t="n"/>
      <c r="G37" s="62" t="inlineStr">
        <is>
          <t>manhour for Level- 13 (Group-2), Level -15 &amp; 16 (Group-4) and Level-18 (Group-5) have far exceeded ceiling prescribed in the contract - &gt;Lvl 17-mh limited to 16%</t>
        </is>
      </c>
      <c r="H37" s="62" t="n"/>
      <c r="I37" s="62" t="n"/>
      <c r="J37" s="110" t="inlineStr">
        <is>
          <t>Himangshu Pal/Sanjeev Kumar/Rajeev Khandelwal IOM 10/7/24 from Mr Rajeev Khandelwal on level wise breakup of MH to be booked - to be followed while seeking MH.</t>
        </is>
      </c>
      <c r="K37" s="111" t="n"/>
      <c r="L37" s="111" t="n"/>
      <c r="M37" s="112" t="inlineStr">
        <is>
          <t>PLL</t>
        </is>
      </c>
      <c r="N37" s="3" t="n"/>
      <c r="O37" s="3" t="n"/>
      <c r="P37" t="inlineStr">
        <is>
          <t>200h rel in May'25</t>
        </is>
      </c>
    </row>
    <row r="38" ht="83.5" customHeight="1" s="125">
      <c r="A38" s="29" t="inlineStr">
        <is>
          <t>B865</t>
        </is>
      </c>
      <c r="B38" s="3" t="n"/>
      <c r="C38" s="3" t="n"/>
      <c r="D38" s="3" t="n"/>
      <c r="E38" s="9" t="n"/>
      <c r="F38" s="3" t="n"/>
      <c r="G38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H38" s="62" t="n"/>
      <c r="I38" s="62" t="n"/>
      <c r="J38" s="110" t="inlineStr">
        <is>
          <t>Avdesh Agrawal</t>
        </is>
      </c>
      <c r="K38" s="111" t="n"/>
      <c r="L38" s="111" t="n"/>
      <c r="M38" s="112" t="inlineStr">
        <is>
          <t>HPCL Petchem Mktg Terminal</t>
        </is>
      </c>
      <c r="N38" s="3" t="n"/>
      <c r="O38" s="3" t="n"/>
    </row>
    <row r="39" ht="83.5" customHeight="1" s="125">
      <c r="A39" s="29" t="inlineStr">
        <is>
          <t>B903</t>
        </is>
      </c>
      <c r="B39" s="3" t="n">
        <v>3</v>
      </c>
      <c r="C39" s="3">
        <f>2*B39</f>
        <v/>
      </c>
      <c r="D39" s="3" t="n"/>
      <c r="E39" s="9" t="n"/>
      <c r="F39" s="3">
        <f>SUM(C39:E39)</f>
        <v/>
      </c>
      <c r="G39" s="62" t="n"/>
      <c r="H39" s="62" t="n"/>
      <c r="I39" s="62" t="n"/>
      <c r="J39" s="110" t="inlineStr">
        <is>
          <t>Sanjeev Kumar</t>
        </is>
      </c>
      <c r="K39" s="111" t="n"/>
      <c r="L39" s="111" t="n"/>
      <c r="M39" s="112" t="n"/>
      <c r="N39" s="3" t="n"/>
      <c r="O39" s="3" t="n"/>
      <c r="P39" t="inlineStr">
        <is>
          <t>10h rel on 2/7[10]</t>
        </is>
      </c>
    </row>
    <row r="40" ht="83.5" customHeight="1" s="125">
      <c r="A40" s="29" t="inlineStr">
        <is>
          <t>B904</t>
        </is>
      </c>
      <c r="B40" s="3" t="n">
        <v>1</v>
      </c>
      <c r="C40" s="3">
        <f>2*1</f>
        <v/>
      </c>
      <c r="D40" s="3" t="n"/>
      <c r="E40" s="9" t="n"/>
      <c r="F40" s="3">
        <f>SUM(C40:E40)</f>
        <v/>
      </c>
      <c r="G40" s="62" t="n"/>
      <c r="H40" s="62" t="n"/>
      <c r="I40" s="62" t="n"/>
      <c r="J40" s="110" t="inlineStr">
        <is>
          <t>Sanjeev Kumar</t>
        </is>
      </c>
      <c r="K40" s="111" t="n"/>
      <c r="L40" s="111" t="n"/>
      <c r="M40" s="112" t="n"/>
      <c r="N40" s="3" t="n"/>
      <c r="O40" s="3" t="inlineStr">
        <is>
          <t>Proj. prof. n.avl.</t>
        </is>
      </c>
      <c r="P40" t="inlineStr">
        <is>
          <t>4h rel on 2/7[4]</t>
        </is>
      </c>
    </row>
    <row r="41" ht="83.5" customHeight="1" s="125">
      <c r="A41" s="29" t="inlineStr">
        <is>
          <t>B964</t>
        </is>
      </c>
      <c r="B41" s="3" t="n"/>
      <c r="C41" s="3" t="n"/>
      <c r="D41" s="3" t="n"/>
      <c r="E41" s="9" t="n"/>
      <c r="F41" s="3" t="n"/>
      <c r="G41" s="62" t="n"/>
      <c r="H41" s="62" t="n"/>
      <c r="I41" s="62" t="inlineStr">
        <is>
          <t>Pipemill Deputation-Ratnamani- 10 to 25/1</t>
        </is>
      </c>
      <c r="J41" s="110" t="inlineStr">
        <is>
          <t>Muthu/Hemant</t>
        </is>
      </c>
      <c r="K41" s="111" t="n"/>
      <c r="L41" s="111" t="n"/>
      <c r="M41" s="112" t="n"/>
      <c r="N41" s="3" t="n"/>
      <c r="O41" s="3" t="n"/>
    </row>
    <row r="42" ht="46" customHeight="1" s="125">
      <c r="A42" s="29" t="inlineStr">
        <is>
          <t>Leave</t>
        </is>
      </c>
      <c r="B42" s="3" t="n">
        <v>4.5</v>
      </c>
      <c r="C42" s="3" t="n"/>
      <c r="D42" s="3" t="n"/>
      <c r="E42" s="9" t="inlineStr">
        <is>
          <t xml:space="preserve"> </t>
        </is>
      </c>
      <c r="F42" s="3">
        <f>8*B42</f>
        <v/>
      </c>
      <c r="G42" s="62" t="inlineStr">
        <is>
          <t>VR:; AG:;SV-;BT-;NV: ;Viji:5</t>
        </is>
      </c>
      <c r="H42" s="62" t="n"/>
      <c r="I42" s="62" t="n"/>
      <c r="J42" s="110" t="inlineStr">
        <is>
          <t xml:space="preserve"> </t>
        </is>
      </c>
      <c r="K42" s="111" t="n"/>
      <c r="L42" s="111" t="n"/>
      <c r="M42" s="112" t="n"/>
      <c r="N42" s="3" t="n"/>
      <c r="O42" s="3">
        <f>F42-N42</f>
        <v/>
      </c>
      <c r="P42" t="n">
        <v>68</v>
      </c>
    </row>
    <row r="43" ht="45.5" customHeight="1" s="125">
      <c r="A43" s="3" t="inlineStr">
        <is>
          <t>Total</t>
        </is>
      </c>
      <c r="B43" s="3">
        <f>SUM(B10:B42)</f>
        <v/>
      </c>
      <c r="C43" s="3" t="n"/>
      <c r="D43" s="3" t="n"/>
      <c r="E43" s="9" t="n"/>
      <c r="F43" s="3">
        <f>SUM(F4:F42)</f>
        <v/>
      </c>
      <c r="G43" s="56" t="n"/>
      <c r="H43" s="56" t="n"/>
      <c r="I43" s="56" t="n"/>
      <c r="J43" s="110" t="n"/>
      <c r="K43" s="111" t="n"/>
      <c r="L43" s="111" t="n"/>
      <c r="M43" s="112" t="n"/>
      <c r="N43" s="3" t="n"/>
      <c r="O43" s="3">
        <f>F43-N43</f>
        <v/>
      </c>
      <c r="P43">
        <f>SUM(P10:P42)</f>
        <v/>
      </c>
      <c r="Q43">
        <f>672-P43</f>
        <v/>
      </c>
    </row>
    <row r="44" ht="83.5" customHeight="1" s="125">
      <c r="A44" s="3" t="n"/>
      <c r="B44" s="3" t="n"/>
      <c r="C44" s="3" t="n"/>
      <c r="D44" s="3" t="n"/>
      <c r="E44" s="9" t="n"/>
      <c r="F44" s="3" t="inlineStr">
        <is>
          <t xml:space="preserve"> </t>
        </is>
      </c>
      <c r="G44" s="56" t="n"/>
      <c r="H44" s="56" t="n"/>
      <c r="I44" s="56">
        <f>52*5*3- 36</f>
        <v/>
      </c>
      <c r="J44" s="110" t="n"/>
      <c r="K44" s="111" t="n"/>
      <c r="L44" s="111" t="n"/>
      <c r="M44" s="112" t="n"/>
      <c r="N44" s="3" t="n"/>
      <c r="O44" s="3" t="n"/>
    </row>
    <row r="45" ht="83.5" customHeight="1" s="125">
      <c r="A45" s="3" t="inlineStr">
        <is>
          <t>Notes:</t>
        </is>
      </c>
      <c r="B45" s="3" t="n"/>
      <c r="C45" s="3" t="n"/>
      <c r="D45" s="3" t="n"/>
      <c r="E45" s="9" t="n"/>
      <c r="F45" s="3" t="n"/>
      <c r="G45" s="56" t="n"/>
      <c r="H45" s="56" t="n"/>
      <c r="I45" s="56" t="n"/>
      <c r="J45" s="110" t="n"/>
      <c r="K45" s="111" t="inlineStr">
        <is>
          <t xml:space="preserve"> </t>
        </is>
      </c>
      <c r="L45" s="111" t="n"/>
      <c r="M45" s="112" t="n"/>
      <c r="N45" s="3" t="n"/>
      <c r="O45" s="3" t="n"/>
    </row>
    <row r="46" ht="83.5" customHeight="1" s="125">
      <c r="A46" s="3" t="inlineStr">
        <is>
          <t>1. If there are any other job nos., pl. include the same.</t>
        </is>
      </c>
      <c r="B46" s="3" t="n"/>
      <c r="C46" s="3" t="n"/>
      <c r="D46" s="3" t="n"/>
      <c r="E46" s="9" t="n"/>
      <c r="F46" s="3" t="n"/>
      <c r="G46" s="9" t="inlineStr">
        <is>
          <t xml:space="preserve"> </t>
        </is>
      </c>
      <c r="H46" s="111" t="n"/>
      <c r="I46" s="112" t="n"/>
      <c r="J46" s="6" t="inlineStr">
        <is>
          <t xml:space="preserve"> </t>
        </is>
      </c>
      <c r="K46" s="7" t="inlineStr">
        <is>
          <t xml:space="preserve"> </t>
        </is>
      </c>
      <c r="L46" s="7" t="n"/>
      <c r="M46" s="8" t="n"/>
      <c r="N46" s="3" t="n"/>
      <c r="O46" s="3" t="n"/>
    </row>
    <row r="47">
      <c r="A47" s="24" t="inlineStr">
        <is>
          <t xml:space="preserve">Guidelines : </t>
        </is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</row>
    <row r="48">
      <c r="A48" s="26" t="inlineStr">
        <is>
          <t>1. Inspection Visit including review and endorsement of final documents: At  actual</t>
        </is>
      </c>
      <c r="B48" s="26" t="n"/>
    </row>
    <row r="49">
      <c r="A49" s="26" t="inlineStr">
        <is>
          <t xml:space="preserve">2. Expediting and preparation of expediting report: Average 2 hours /month /order ( No separate man hours for coordination ) </t>
        </is>
      </c>
      <c r="Q49" t="inlineStr">
        <is>
          <t xml:space="preserve"> </t>
        </is>
      </c>
    </row>
    <row r="50">
      <c r="A50" s="26" t="inlineStr">
        <is>
          <t xml:space="preserve">3. Expediting visit/ Attending meeting with project/.Client: At  actual </t>
        </is>
      </c>
    </row>
    <row r="51">
      <c r="A51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2">
      <c r="A52" s="26" t="inlineStr">
        <is>
          <t xml:space="preserve">5. Review of ITP for Equipment (Mechanical and Electrical/DCS etc): Average 2 hours/order </t>
        </is>
      </c>
      <c r="M52" t="inlineStr">
        <is>
          <t xml:space="preserve"> </t>
        </is>
      </c>
    </row>
    <row r="53">
      <c r="A53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4">
      <c r="A54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5">
      <c r="A55" s="26" t="inlineStr">
        <is>
          <t xml:space="preserve">8. Order Closing report: Average 2 hours/Order  </t>
        </is>
      </c>
    </row>
    <row r="56">
      <c r="A56" s="27" t="n"/>
    </row>
    <row r="57">
      <c r="J57" t="inlineStr">
        <is>
          <t xml:space="preserve"> </t>
        </is>
      </c>
    </row>
  </sheetData>
  <mergeCells count="7">
    <mergeCell ref="G10:I10"/>
    <mergeCell ref="A2:I2"/>
    <mergeCell ref="G46:I46"/>
    <mergeCell ref="A1:I1"/>
    <mergeCell ref="G3:I3"/>
    <mergeCell ref="J2:M2"/>
    <mergeCell ref="G11:I11"/>
  </mergeCell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filterMode="1">
    <outlinePr summaryBelow="1" summaryRight="1"/>
    <pageSetUpPr fitToPage="1"/>
  </sheetPr>
  <dimension ref="A1:Y53"/>
  <sheetViews>
    <sheetView zoomScaleNormal="100" workbookViewId="0">
      <selection activeCell="A3" sqref="A3:L3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45778</v>
      </c>
      <c r="M1" s="122" t="inlineStr">
        <is>
          <t xml:space="preserve">Total MH reqd: </t>
        </is>
      </c>
      <c r="O1" s="122">
        <f>ConsolidatedMHrequirementMay25!A2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25/06/25</t>
        </is>
      </c>
      <c r="L3" s="33" t="inlineStr">
        <is>
          <t>Shortfall</t>
        </is>
      </c>
    </row>
    <row r="4" hidden="1" ht="15" customHeight="1" s="125">
      <c r="A4" s="71" t="n">
        <v>4994</v>
      </c>
      <c r="B4" s="3">
        <f>ConsolidatedMHrequirementMay25!B4</f>
        <v/>
      </c>
      <c r="C4" s="3" t="n"/>
      <c r="D4" s="3" t="n"/>
      <c r="E4" s="3" t="n"/>
      <c r="F4" s="66" t="n"/>
      <c r="G4" s="3">
        <f>ConsolidatedMHrequirementMay25!D4</f>
        <v/>
      </c>
      <c r="H4" s="3">
        <f>ConsolidatedMHrequirementMay25!C4</f>
        <v/>
      </c>
      <c r="I4" s="3">
        <f>ConsolidatedMHrequirementMay25!E4</f>
        <v/>
      </c>
      <c r="J4" s="41">
        <f>VLOOKUP(A4,ConsolidatedMHrequirementMay25!$A$4:$I$42,6,FALSE)</f>
        <v/>
      </c>
      <c r="K4" s="3" t="n">
        <v>32</v>
      </c>
      <c r="L4" s="3">
        <f>J4-K4</f>
        <v/>
      </c>
      <c r="M4" s="69">
        <f>ConsolidatedMHrequirementMay25!G4</f>
        <v/>
      </c>
    </row>
    <row r="5" hidden="1" s="125">
      <c r="A5" s="71" t="n">
        <v>6979</v>
      </c>
      <c r="B5" s="3">
        <f>ConsolidatedMHrequirementMay25!B5</f>
        <v/>
      </c>
      <c r="C5" s="3" t="n"/>
      <c r="D5" s="3" t="n"/>
      <c r="E5" s="3" t="n"/>
      <c r="F5" s="3" t="n"/>
      <c r="G5" s="3">
        <f>ConsolidatedMHrequirementMay25!D5</f>
        <v/>
      </c>
      <c r="H5" s="3">
        <f>ConsolidatedMHrequirementMay25!C5</f>
        <v/>
      </c>
      <c r="I5" s="3">
        <f>ConsolidatedMHrequirementMay25!E5</f>
        <v/>
      </c>
      <c r="J5" s="41">
        <f>VLOOKUP(A5,ConsolidatedMHrequirementMay25!$A$4:$I$42,6,FALSE)</f>
        <v/>
      </c>
      <c r="K5" s="3" t="n"/>
      <c r="L5" s="3">
        <f>J5-K5</f>
        <v/>
      </c>
    </row>
    <row r="6" hidden="1" ht="14.5" customFormat="1" customHeight="1" s="34">
      <c r="A6" s="71" t="n">
        <v>7716</v>
      </c>
      <c r="B6" s="3">
        <f>ConsolidatedMHrequirementMay25!B6</f>
        <v/>
      </c>
      <c r="C6" s="3" t="n"/>
      <c r="D6" s="3" t="n"/>
      <c r="E6" s="3" t="n"/>
      <c r="F6" s="66" t="n"/>
      <c r="G6" s="3">
        <f>ConsolidatedMHrequirementMay25!D6</f>
        <v/>
      </c>
      <c r="H6" s="3">
        <f>ConsolidatedMHrequirementMay25!C6</f>
        <v/>
      </c>
      <c r="I6" s="3">
        <f>ConsolidatedMHrequirementMay25!E6</f>
        <v/>
      </c>
      <c r="J6" s="41">
        <f>VLOOKUP(A6,ConsolidatedMHrequirementMay25!$A$4:$I$42,6,FALSE)</f>
        <v/>
      </c>
      <c r="K6" s="44" t="n"/>
      <c r="L6" s="3">
        <f>J6-K6</f>
        <v/>
      </c>
      <c r="M6" s="120" t="inlineStr">
        <is>
          <t xml:space="preserve"> </t>
        </is>
      </c>
    </row>
    <row r="7" hidden="1" ht="14.5" customFormat="1" customHeight="1" s="34">
      <c r="A7" s="71" t="n">
        <v>8518</v>
      </c>
      <c r="B7" s="3">
        <f>ConsolidatedMHrequirementMay25!B7</f>
        <v/>
      </c>
      <c r="C7" s="3" t="n"/>
      <c r="D7" s="3" t="n"/>
      <c r="E7" s="3" t="n"/>
      <c r="F7" s="66" t="n"/>
      <c r="G7" s="3">
        <f>ConsolidatedMHrequirementMay25!D7</f>
        <v/>
      </c>
      <c r="H7" s="3">
        <f>ConsolidatedMHrequirementMay25!C7</f>
        <v/>
      </c>
      <c r="I7" s="3">
        <f>ConsolidatedMHrequirementMay25!E7</f>
        <v/>
      </c>
      <c r="J7" s="41">
        <f>VLOOKUP(A7,ConsolidatedMHrequirementMay25!$A$4:$I$42,6,FALSE)</f>
        <v/>
      </c>
      <c r="K7" s="44" t="n"/>
      <c r="L7" s="3">
        <f>J7-K7</f>
        <v/>
      </c>
      <c r="M7" s="120" t="inlineStr">
        <is>
          <t>Admin works,Insp Guidelines/Typ Test review/ITP revision(E&amp;I ITPS)/Std. Spec review-mtgs with Inst. Engg. on Cryo Test Procedure &amp; Flow Meter MR improvements,other miscellaneous works incl. Dept Mtg, Office enhancement efforts,Short Term Contracts, New Facility Mgmt Tender requirements freeze etc.,Mktg leads, Hosp Nomination;ITP for Aircooled Exchangers &amp; Wiremesh Demister-12/5,Heat Exch &amp;Columns-13/5+3 ITPs for Vessels/Columns/Reactors (30/5)</t>
        </is>
      </c>
    </row>
    <row r="8" hidden="1" ht="14.5" customFormat="1" customHeight="1" s="34">
      <c r="A8" s="71" t="n">
        <v>8590</v>
      </c>
      <c r="B8" s="3">
        <f>ConsolidatedMHrequirementMay25!B8</f>
        <v/>
      </c>
      <c r="C8" s="3" t="n"/>
      <c r="D8" s="3" t="n"/>
      <c r="E8" s="3" t="n"/>
      <c r="F8" s="66" t="n"/>
      <c r="G8" s="3">
        <f>ConsolidatedMHrequirementMay25!D8</f>
        <v/>
      </c>
      <c r="H8" s="3">
        <f>ConsolidatedMHrequirementMay25!C8</f>
        <v/>
      </c>
      <c r="I8" s="3">
        <f>ConsolidatedMHrequirementMay25!E8</f>
        <v/>
      </c>
      <c r="J8" s="41">
        <f>VLOOKUP(A8,ConsolidatedMHrequirementMay25!$A$4:$I$42,6,FALSE)</f>
        <v/>
      </c>
      <c r="K8" s="44" t="n"/>
      <c r="L8" s="3">
        <f>J8-K8</f>
        <v/>
      </c>
      <c r="M8" s="121" t="inlineStr">
        <is>
          <t xml:space="preserve"> </t>
        </is>
      </c>
      <c r="N8" s="121" t="n"/>
      <c r="O8" s="121" t="n"/>
      <c r="P8" s="121" t="n"/>
    </row>
    <row r="9" hidden="1" customFormat="1" s="34">
      <c r="A9" s="10" t="inlineStr">
        <is>
          <t>B016</t>
        </is>
      </c>
      <c r="B9" s="3">
        <f>ConsolidatedMHrequirementMay25!B9</f>
        <v/>
      </c>
      <c r="C9" s="41" t="n"/>
      <c r="D9" s="41" t="n"/>
      <c r="E9" s="41" t="n"/>
      <c r="F9" s="54" t="n"/>
      <c r="G9" s="3">
        <f>ConsolidatedMHrequirementMay25!D9</f>
        <v/>
      </c>
      <c r="H9" s="3">
        <f>ConsolidatedMHrequirementMay25!C9</f>
        <v/>
      </c>
      <c r="I9" s="3">
        <f>ConsolidatedMHrequirementMay25!E9</f>
        <v/>
      </c>
      <c r="J9" s="41">
        <f>VLOOKUP(A9,ConsolidatedMHrequirementMay25!$A$9:$I$42,6,FALSE)</f>
        <v/>
      </c>
      <c r="K9" s="44" t="n"/>
      <c r="L9" s="3">
        <f>J9-K9</f>
        <v/>
      </c>
    </row>
    <row r="10" hidden="1" ht="15" customFormat="1" customHeight="1" s="34">
      <c r="A10" s="10" t="inlineStr">
        <is>
          <t>B035</t>
        </is>
      </c>
      <c r="B10" s="3">
        <f>ConsolidatedMHrequirementMay25!B10</f>
        <v/>
      </c>
      <c r="C10" s="41" t="n"/>
      <c r="D10" s="41" t="n"/>
      <c r="E10" s="41" t="n"/>
      <c r="F10" s="54" t="n"/>
      <c r="G10" s="3">
        <f>ConsolidatedMHrequirementMay25!D10</f>
        <v/>
      </c>
      <c r="H10" s="3">
        <f>ConsolidatedMHrequirementMay25!C10</f>
        <v/>
      </c>
      <c r="I10" s="3">
        <f>ConsolidatedMHrequirementMay25!E10</f>
        <v/>
      </c>
      <c r="J10" s="41">
        <f>VLOOKUP(A10,ConsolidatedMHrequirementMay25!$A$9:$I$42,6,FALSE)</f>
        <v/>
      </c>
      <c r="K10" s="41" t="n"/>
      <c r="L10" s="3">
        <f>J10-K10</f>
        <v/>
      </c>
      <c r="M10" s="120" t="inlineStr">
        <is>
          <t>Expediting - Greensol;</t>
        </is>
      </c>
    </row>
    <row r="11" hidden="1" ht="16.5" customFormat="1" customHeight="1" s="34">
      <c r="A11" s="10" t="inlineStr">
        <is>
          <t>B038</t>
        </is>
      </c>
      <c r="B11" s="3">
        <f>ConsolidatedMHrequirementMay25!B11</f>
        <v/>
      </c>
      <c r="C11" s="41" t="n"/>
      <c r="D11" s="41" t="n"/>
      <c r="E11" s="41" t="n"/>
      <c r="F11" s="54" t="n"/>
      <c r="G11" s="3">
        <f>ConsolidatedMHrequirementMay25!D11</f>
        <v/>
      </c>
      <c r="H11" s="3">
        <f>ConsolidatedMHrequirementMay25!C11</f>
        <v/>
      </c>
      <c r="I11" s="3">
        <f>ConsolidatedMHrequirementMay25!E11</f>
        <v/>
      </c>
      <c r="J11" s="70">
        <f>VLOOKUP(A11,ConsolidatedMHrequirementMay25!$A$9:$I$42,6,FALSE)</f>
        <v/>
      </c>
      <c r="K11" s="41" t="n"/>
      <c r="L11" s="3">
        <f>J11-K11</f>
        <v/>
      </c>
      <c r="M11" s="120" t="inlineStr">
        <is>
          <t>May-1ord FD exp.</t>
        </is>
      </c>
      <c r="V11" s="34" t="inlineStr">
        <is>
          <t>pending mh to be filled:</t>
        </is>
      </c>
      <c r="X11" s="34" t="inlineStr">
        <is>
          <t>MH avl</t>
        </is>
      </c>
    </row>
    <row r="12" hidden="1" customFormat="1" s="34">
      <c r="A12" s="10" t="inlineStr">
        <is>
          <t>B058</t>
        </is>
      </c>
      <c r="B12" s="3">
        <f>ConsolidatedMHrequirementMay25!B12</f>
        <v/>
      </c>
      <c r="C12" s="41" t="n"/>
      <c r="D12" s="41" t="n"/>
      <c r="E12" s="41" t="n"/>
      <c r="F12" s="54" t="n"/>
      <c r="G12" s="3">
        <f>ConsolidatedMHrequirementMay25!D12</f>
        <v/>
      </c>
      <c r="H12" s="3">
        <f>ConsolidatedMHrequirementMay25!C12</f>
        <v/>
      </c>
      <c r="I12" s="3">
        <f>ConsolidatedMHrequirementMay25!E12</f>
        <v/>
      </c>
      <c r="J12" s="41">
        <f>VLOOKUP(A12,ConsolidatedMHrequirementMay25!$A$9:$I$42,6,FALSE)</f>
        <v/>
      </c>
      <c r="K12" s="41" t="n"/>
      <c r="L12" s="3">
        <f>J12-K12</f>
        <v/>
      </c>
      <c r="M12" s="120" t="n"/>
    </row>
    <row r="13" ht="15" customFormat="1" customHeight="1" s="34">
      <c r="A13" s="10" t="inlineStr">
        <is>
          <t>B224</t>
        </is>
      </c>
      <c r="B13" s="3">
        <f>ConsolidatedMHrequirementMay25!B13</f>
        <v/>
      </c>
      <c r="C13" s="3" t="n"/>
      <c r="D13" s="3" t="n"/>
      <c r="E13" s="3" t="n"/>
      <c r="F13" s="66" t="n"/>
      <c r="G13" s="3">
        <f>ConsolidatedMHrequirementMay25!D13</f>
        <v/>
      </c>
      <c r="H13" s="3">
        <f>ConsolidatedMHrequirementMay25!C13</f>
        <v/>
      </c>
      <c r="I13" s="3">
        <f>ConsolidatedMHrequirementMay25!E13</f>
        <v/>
      </c>
      <c r="J13" s="41">
        <f>VLOOKUP(A13,ConsolidatedMHrequirementMay25!$A$9:$I$42,6,FALSE)</f>
        <v/>
      </c>
      <c r="K13" s="44" t="n"/>
      <c r="L13" s="3">
        <f>J13-K13</f>
        <v/>
      </c>
      <c r="M13" s="120" t="inlineStr">
        <is>
          <t>Tecnip/Micon -insp- 22/5(1d);L&amp;T/YIL-Wireless Insts- 30/5(1d);L&amp;T/YIL Moist Anal Rev/IRN end.- 1/5 (0.5d);JSW-Rev/IRN end of Elec Pkg-6/5 (1d);MEIL-SRU/Cords&amp;KEC QAP rev -8/5(0.5d);Megha/PPU-All elec. Items TPI IRN rev-6/5(1d);Meil-SRU- Mass FM,Mag FM -QAP rev-21/5(1d);Meil/SRU/Nexon Cable QAP rev-27/5(0.5d);MEIL/SRU-PRV QAP-19/5(0.5d);Meil/SRU/Chabi-QAP-27/5(0.5d);</t>
        </is>
      </c>
      <c r="Q13" s="121" t="n"/>
      <c r="R13" s="121" t="n"/>
      <c r="S13" s="121" t="n"/>
      <c r="T13" s="121" t="n"/>
    </row>
    <row r="14" hidden="1" customFormat="1" s="34">
      <c r="A14" s="10" t="inlineStr">
        <is>
          <t>B229</t>
        </is>
      </c>
      <c r="B14" s="3">
        <f>ConsolidatedMHrequirementMay25!B14</f>
        <v/>
      </c>
      <c r="C14" s="41" t="n"/>
      <c r="D14" s="41" t="n"/>
      <c r="E14" s="41" t="n"/>
      <c r="F14" s="54" t="n"/>
      <c r="G14" s="3">
        <f>ConsolidatedMHrequirementMay25!D14</f>
        <v/>
      </c>
      <c r="H14" s="3">
        <f>ConsolidatedMHrequirementMay25!C14</f>
        <v/>
      </c>
      <c r="I14" s="3">
        <f>ConsolidatedMHrequirementMay25!E14</f>
        <v/>
      </c>
      <c r="J14" s="41">
        <f>VLOOKUP(A14,ConsolidatedMHrequirementMay25!$A$9:$I$42,6,FALSE)</f>
        <v/>
      </c>
      <c r="K14" s="41" t="n"/>
      <c r="L14" s="3">
        <f>J14-K14</f>
        <v/>
      </c>
      <c r="N14" s="121" t="n"/>
      <c r="O14" s="121" t="n"/>
      <c r="P14" s="121" t="n"/>
      <c r="Q14" s="121" t="n"/>
      <c r="R14" s="121" t="n"/>
      <c r="S14" s="121" t="n"/>
      <c r="T14" s="121" t="n"/>
    </row>
    <row r="15" ht="15" customFormat="1" customHeight="1" s="34">
      <c r="A15" s="10" t="inlineStr">
        <is>
          <t>B269</t>
        </is>
      </c>
      <c r="B15" s="3">
        <f>ConsolidatedMHrequirementMay25!B15</f>
        <v/>
      </c>
      <c r="C15" s="3" t="n"/>
      <c r="D15" s="3" t="n"/>
      <c r="E15" s="3" t="n"/>
      <c r="F15" s="66" t="n"/>
      <c r="G15" s="3">
        <f>ConsolidatedMHrequirementMay25!D15</f>
        <v/>
      </c>
      <c r="H15" s="3">
        <f>ConsolidatedMHrequirementMay25!C15</f>
        <v/>
      </c>
      <c r="I15" s="3">
        <f>ConsolidatedMHrequirementMay25!E15</f>
        <v/>
      </c>
      <c r="J15" s="41">
        <f>VLOOKUP(A15,ConsolidatedMHrequirementMay25!$A$9:$I$42,6,FALSE)</f>
        <v/>
      </c>
      <c r="K15" s="41" t="n">
        <v>138</v>
      </c>
      <c r="L15" s="3">
        <f>J15-K15</f>
        <v/>
      </c>
      <c r="M15" s="120" t="inlineStr">
        <is>
          <t>12 running orders+ 4Orders FD sub expediting+1OCS; Critical Item Insp - YIL- RHCU FAT- 5d (28/4-2/5-(5d); BDK visit- 21-23/5(3d)-posting for expediting rectification/replacement of valves recd.frm site;YIL-1415- RHCU FAT compl- 29/5(1d);Cables Rev/IRN endor - 28/5(0.5d);For Apr+May-38mh rel on 19/6 (against 104+118=222h sought)[1476];Another 100mh rel on 20/6[1576]</t>
        </is>
      </c>
    </row>
    <row r="16" hidden="1" customFormat="1" s="34">
      <c r="A16" s="10" t="inlineStr">
        <is>
          <t>B285</t>
        </is>
      </c>
      <c r="B16" s="3">
        <f>ConsolidatedMHrequirementMay25!B16</f>
        <v/>
      </c>
      <c r="C16" s="41" t="n"/>
      <c r="D16" s="41" t="n"/>
      <c r="E16" s="41" t="n"/>
      <c r="F16" s="44" t="n"/>
      <c r="G16" s="3">
        <f>ConsolidatedMHrequirementMay25!D16</f>
        <v/>
      </c>
      <c r="H16" s="3">
        <f>ConsolidatedMHrequirementMay25!C16</f>
        <v/>
      </c>
      <c r="I16" s="3">
        <f>ConsolidatedMHrequirementMay25!E16</f>
        <v/>
      </c>
      <c r="J16" s="41">
        <f>VLOOKUP(A16,ConsolidatedMHrequirementMay25!$A$9:$I$42,6,FALSE)</f>
        <v/>
      </c>
      <c r="K16" s="41" t="n"/>
      <c r="L16" s="3">
        <f>J16-K16</f>
        <v/>
      </c>
      <c r="M16" s="120" t="n"/>
    </row>
    <row r="17" ht="15" customFormat="1" customHeight="1" s="34">
      <c r="A17" s="10" t="inlineStr">
        <is>
          <t>B297</t>
        </is>
      </c>
      <c r="B17" s="3">
        <f>ConsolidatedMHrequirementMay25!B17</f>
        <v/>
      </c>
      <c r="C17" s="41" t="n"/>
      <c r="D17" s="41" t="n"/>
      <c r="E17" s="41" t="n"/>
      <c r="F17" s="54" t="n"/>
      <c r="G17" s="3">
        <f>ConsolidatedMHrequirementMay25!D17</f>
        <v/>
      </c>
      <c r="H17" s="3">
        <f>ConsolidatedMHrequirementMay25!C17</f>
        <v/>
      </c>
      <c r="I17" s="3">
        <f>ConsolidatedMHrequirementMay25!E17</f>
        <v/>
      </c>
      <c r="J17" s="41">
        <f>VLOOKUP(A17,ConsolidatedMHrequirementMay25!$A$9:$I$42,6,FALSE)</f>
        <v/>
      </c>
      <c r="K17" s="41" t="n"/>
      <c r="L17" s="3">
        <f>J17-K17</f>
        <v/>
      </c>
      <c r="M17" s="120" t="inlineStr">
        <is>
          <t>Exp-6 ord-4 runn ord, 2-FD sub exp; Insp: B297/308 (23/5 - 1d)</t>
        </is>
      </c>
      <c r="V17" s="34" t="inlineStr">
        <is>
          <t>Viji</t>
        </is>
      </c>
      <c r="W17" s="34" t="n">
        <v>168</v>
      </c>
    </row>
    <row r="18" ht="14.5" customFormat="1" customHeight="1" s="34">
      <c r="A18" s="10" t="inlineStr">
        <is>
          <t>B302</t>
        </is>
      </c>
      <c r="B18" s="3">
        <f>ConsolidatedMHrequirementMay25!B18</f>
        <v/>
      </c>
      <c r="C18" s="41" t="n"/>
      <c r="D18" s="41" t="n"/>
      <c r="E18" s="41" t="n"/>
      <c r="F18" s="54" t="n"/>
      <c r="G18" s="3">
        <f>ConsolidatedMHrequirementMay25!D18</f>
        <v/>
      </c>
      <c r="H18" s="3">
        <f>ConsolidatedMHrequirementMay25!C18</f>
        <v/>
      </c>
      <c r="I18" s="3">
        <f>ConsolidatedMHrequirementMay25!E18</f>
        <v/>
      </c>
      <c r="J18" s="41">
        <f>VLOOKUP(A18,ConsolidatedMHrequirementMay25!$A$9:$I$42,6,FALSE)</f>
        <v/>
      </c>
      <c r="K18" s="41" t="n"/>
      <c r="L18" s="3">
        <f>J18-K18</f>
        <v/>
      </c>
      <c r="M18" s="120" t="inlineStr">
        <is>
          <t>4 Running orders ; 8731-KEPL/TMEIC-Drives insp- 22-27/5 (5d);2162-KSBMIL-26/5(1d);Shirdi Sai -Online mtg/clarifications</t>
        </is>
      </c>
    </row>
    <row r="19" hidden="1" ht="15" customFormat="1" customHeight="1" s="34">
      <c r="A19" s="10" t="inlineStr">
        <is>
          <t>B348</t>
        </is>
      </c>
      <c r="B19" s="3">
        <f>ConsolidatedMHrequirementMay25!B19</f>
        <v/>
      </c>
      <c r="C19" s="41" t="n"/>
      <c r="D19" s="41" t="n"/>
      <c r="E19" s="41" t="n"/>
      <c r="F19" s="54" t="n"/>
      <c r="G19" s="3">
        <f>ConsolidatedMHrequirementMay25!D19</f>
        <v/>
      </c>
      <c r="H19" s="3">
        <f>ConsolidatedMHrequirementMay25!C19</f>
        <v/>
      </c>
      <c r="I19" s="3">
        <f>ConsolidatedMHrequirementMay25!E19</f>
        <v/>
      </c>
      <c r="J19" s="41">
        <f>VLOOKUP(A19,ConsolidatedMHrequirementMay25!$A$9:$I$42,6,FALSE)</f>
        <v/>
      </c>
      <c r="K19" s="41" t="n">
        <v>0</v>
      </c>
      <c r="L19" s="3">
        <f>J19-K19</f>
        <v/>
      </c>
      <c r="M19" s="120" t="inlineStr">
        <is>
          <t>13 Running orders +1 ord FD exp+1OCS;22h rel on 4/7/25 for Apr &amp; May [184]</t>
        </is>
      </c>
      <c r="Q19" s="46" t="n"/>
      <c r="R19" s="46" t="n"/>
      <c r="S19" s="46" t="n"/>
      <c r="T19" s="46" t="n"/>
    </row>
    <row r="20" hidden="1" ht="15.5" customFormat="1" customHeight="1" s="34">
      <c r="A20" s="10" t="inlineStr">
        <is>
          <t>B359</t>
        </is>
      </c>
      <c r="B20" s="3">
        <f>ConsolidatedMHrequirementMay25!B20</f>
        <v/>
      </c>
      <c r="C20" s="41" t="n"/>
      <c r="D20" s="41" t="n"/>
      <c r="E20" s="41" t="n"/>
      <c r="F20" s="41" t="n"/>
      <c r="G20" s="3">
        <f>ConsolidatedMHrequirementMay25!D20</f>
        <v/>
      </c>
      <c r="H20" s="3">
        <f>ConsolidatedMHrequirementMay25!C20</f>
        <v/>
      </c>
      <c r="I20" s="3">
        <f>ConsolidatedMHrequirementMay25!E20</f>
        <v/>
      </c>
      <c r="J20" s="70">
        <f>VLOOKUP(A20,ConsolidatedMHrequirementMay25!$A$9:$I$42,6,FALSE)</f>
        <v/>
      </c>
      <c r="K20" s="41" t="n"/>
      <c r="L20" s="3">
        <f>J20-K20</f>
        <v/>
      </c>
      <c r="M20" s="120" t="n"/>
      <c r="V20" s="48" t="inlineStr">
        <is>
          <t>SV</t>
        </is>
      </c>
      <c r="W20" s="48">
        <f>21*8-4*8</f>
        <v/>
      </c>
      <c r="X20" s="48">
        <f>90+24+22</f>
        <v/>
      </c>
      <c r="Y20" s="48" t="inlineStr">
        <is>
          <t>b035+b436+B767</t>
        </is>
      </c>
    </row>
    <row r="21" hidden="1" ht="15" customFormat="1" customHeight="1" s="34">
      <c r="A21" s="10" t="inlineStr">
        <is>
          <t>B378</t>
        </is>
      </c>
      <c r="B21" s="3">
        <f>ConsolidatedMHrequirementMay25!B21</f>
        <v/>
      </c>
      <c r="C21" s="41" t="n"/>
      <c r="D21" s="41" t="n"/>
      <c r="E21" s="41" t="n"/>
      <c r="F21" s="44" t="n"/>
      <c r="G21" s="3">
        <f>ConsolidatedMHrequirementMay25!D21</f>
        <v/>
      </c>
      <c r="H21" s="3">
        <f>ConsolidatedMHrequirementMay25!C21</f>
        <v/>
      </c>
      <c r="I21" s="3">
        <f>ConsolidatedMHrequirementMay25!E21</f>
        <v/>
      </c>
      <c r="J21" s="41">
        <f>VLOOKUP(A21,ConsolidatedMHrequirementMay25!$A$9:$I$42,6,FALSE)</f>
        <v/>
      </c>
      <c r="K21" s="44" t="n">
        <v>160</v>
      </c>
      <c r="L21" s="3">
        <f>J21-K21</f>
        <v/>
      </c>
      <c r="M21" s="120" t="inlineStr">
        <is>
          <t>20 ord Expediting(incl  7ord FD sub exp); Inspn: YIL(639-U&amp;O/PP FAT))-2,30/5(2d); (706-Rev/IRN end)-3/5(.5d);ABB(569)-29/5(1d);Schneider -PO 725-7-9,28-30,Rev:26/5 (6.5d);Paramount/C&amp;S-8,9,15,16/5(4d);Mtg. with YIL for resolving o/s Hold-ups in FAT &amp; procurement resply;Meeting/rev. of Cryo Test procedure &amp; expediting of o/s issues; Rev. Mtg. @ YIL alongwith Client -9,15,30/5-(2d); 160h rel on 16/6[4328]</t>
        </is>
      </c>
    </row>
    <row r="22" ht="15" customFormat="1" customHeight="1" s="34">
      <c r="A22" s="10" t="inlineStr">
        <is>
          <t>B414</t>
        </is>
      </c>
      <c r="B22" s="3">
        <f>ConsolidatedMHrequirementMay25!B22</f>
        <v/>
      </c>
      <c r="C22" s="41" t="n"/>
      <c r="D22" s="41" t="n"/>
      <c r="E22" s="41" t="n"/>
      <c r="F22" s="41" t="n"/>
      <c r="G22" s="3">
        <f>ConsolidatedMHrequirementMay25!D22</f>
        <v/>
      </c>
      <c r="H22" s="3">
        <f>ConsolidatedMHrequirementMay25!C22</f>
        <v/>
      </c>
      <c r="I22" s="3">
        <f>ConsolidatedMHrequirementMay25!E22</f>
        <v/>
      </c>
      <c r="J22" s="41">
        <f>VLOOKUP(A22,ConsolidatedMHrequirementMay25!$A$9:$I$42,6,FALSE)</f>
        <v/>
      </c>
      <c r="K22" s="41" t="n"/>
      <c r="L22" s="3">
        <f>J22-K22</f>
        <v/>
      </c>
      <c r="M22" s="120" t="inlineStr">
        <is>
          <t>4 orders ( incl. 3Running orders &amp; 1FD expediting); Insp: Schneider - Sw Bds - B414/55- 7-9,29,Rev:26/5 (4.5d);Pace process/Schneider  QAP appls.-27/5(0.5d);</t>
        </is>
      </c>
      <c r="V22" s="48" t="n"/>
      <c r="W22" s="48" t="n"/>
      <c r="X22" s="48" t="n"/>
      <c r="Y22" s="48" t="n"/>
    </row>
    <row r="23" hidden="1" ht="15" customFormat="1" customHeight="1" s="34">
      <c r="A23" s="10" t="inlineStr">
        <is>
          <t>B436</t>
        </is>
      </c>
      <c r="B23" s="3">
        <f>ConsolidatedMHrequirementMay25!B23</f>
        <v/>
      </c>
      <c r="C23" s="41" t="n"/>
      <c r="D23" s="41" t="n"/>
      <c r="E23" s="41" t="n"/>
      <c r="F23" s="41" t="n"/>
      <c r="G23" s="3">
        <f>ConsolidatedMHrequirementMay25!D23</f>
        <v/>
      </c>
      <c r="H23" s="3">
        <f>ConsolidatedMHrequirementMay25!C23</f>
        <v/>
      </c>
      <c r="I23" s="3">
        <f>ConsolidatedMHrequirementMay25!E23</f>
        <v/>
      </c>
      <c r="J23" s="41">
        <f>VLOOKUP(A23,ConsolidatedMHrequirementMay25!$A$9:$I$42,6,FALSE)</f>
        <v/>
      </c>
      <c r="K23" s="41" t="n"/>
      <c r="L23" s="3">
        <f>J23-K23</f>
        <v/>
      </c>
      <c r="M23" s="120" t="inlineStr">
        <is>
          <t xml:space="preserve">SCADA order on ABB </t>
        </is>
      </c>
      <c r="V23" s="48" t="n"/>
      <c r="W23" s="48" t="n"/>
      <c r="X23" s="48" t="n"/>
      <c r="Y23" s="48" t="n"/>
    </row>
    <row r="24" hidden="1" ht="15" customFormat="1" customHeight="1" s="34">
      <c r="A24" s="10" t="inlineStr">
        <is>
          <t>B440</t>
        </is>
      </c>
      <c r="B24" s="3">
        <f>ConsolidatedMHrequirementMay25!B24</f>
        <v/>
      </c>
      <c r="C24" s="41" t="n"/>
      <c r="D24" s="41" t="n"/>
      <c r="E24" s="41" t="n"/>
      <c r="F24" s="41" t="n"/>
      <c r="G24" s="3">
        <f>ConsolidatedMHrequirementMay25!D24</f>
        <v/>
      </c>
      <c r="H24" s="3">
        <f>ConsolidatedMHrequirementMay25!C24</f>
        <v/>
      </c>
      <c r="I24" s="3" t="n">
        <v>0</v>
      </c>
      <c r="J24" s="41">
        <f>VLOOKUP(A24,ConsolidatedMHrequirementMay25!$A$9:$I$42,6,FALSE)</f>
        <v/>
      </c>
      <c r="K24" s="41" t="n">
        <v>15</v>
      </c>
      <c r="L24" s="3">
        <f>J24-K24</f>
        <v/>
      </c>
      <c r="M24" s="120" t="inlineStr">
        <is>
          <t>May'25: 16ord(incl.1ord FD sub &amp; 1OCS);15h rel on 16/6[260]</t>
        </is>
      </c>
      <c r="Q24" s="121" t="n"/>
      <c r="R24" s="121" t="n"/>
      <c r="S24" s="121" t="n"/>
      <c r="T24" s="121" t="n"/>
      <c r="V24" s="48" t="n"/>
      <c r="W24" s="48" t="n"/>
      <c r="X24" s="48" t="n"/>
      <c r="Y24" s="48" t="n"/>
    </row>
    <row r="25" hidden="1" ht="15" customFormat="1" customHeight="1" s="34">
      <c r="A25" s="10" t="inlineStr">
        <is>
          <t>B448</t>
        </is>
      </c>
      <c r="B25" s="3">
        <f>ConsolidatedMHrequirementMay25!B25</f>
        <v/>
      </c>
      <c r="C25" s="41" t="n"/>
      <c r="D25" s="41" t="n"/>
      <c r="E25" s="41" t="n"/>
      <c r="F25" s="44" t="n"/>
      <c r="G25" s="3">
        <f>ConsolidatedMHrequirementMay25!D25</f>
        <v/>
      </c>
      <c r="H25" s="3">
        <f>ConsolidatedMHrequirementMay25!C25</f>
        <v/>
      </c>
      <c r="I25" s="3">
        <f>ConsolidatedMHrequirementMay25!E25</f>
        <v/>
      </c>
      <c r="J25" s="41">
        <f>VLOOKUP(A25,ConsolidatedMHrequirementMay25!$A$9:$I$42,6,FALSE)</f>
        <v/>
      </c>
      <c r="K25" s="41" t="n"/>
      <c r="L25" s="3">
        <f>J25-K25</f>
        <v/>
      </c>
      <c r="M25" s="120" t="inlineStr">
        <is>
          <t xml:space="preserve"> Insp. &amp; exp. Of Direct ordered items; For LSTK, insp@ payment on manday item rate;resolution of queries on insp from bid till compln. Of pjt;expediting, if reqd. by Owner - Plant Automation tender on ABB - Plant Automation FAT-20-23, 28/5(5.5d); Valves- QAP rev. 15/5(0.5d)</t>
        </is>
      </c>
      <c r="V25" s="34" t="inlineStr">
        <is>
          <t>NV</t>
        </is>
      </c>
      <c r="W25" s="34">
        <f>168-16</f>
        <v/>
      </c>
      <c r="X25" s="34">
        <f>30+2</f>
        <v/>
      </c>
      <c r="Y25" s="34" t="inlineStr">
        <is>
          <t>b414</t>
        </is>
      </c>
    </row>
    <row r="26" hidden="1" ht="15" customFormat="1" customHeight="1" s="34">
      <c r="A26" s="10" t="inlineStr">
        <is>
          <t>B519</t>
        </is>
      </c>
      <c r="B26" s="3">
        <f>ConsolidatedMHrequirementMay25!B26</f>
        <v/>
      </c>
      <c r="C26" s="3" t="n"/>
      <c r="D26" s="3" t="n"/>
      <c r="E26" s="3" t="n"/>
      <c r="F26" s="67" t="n"/>
      <c r="G26" s="3">
        <f>ConsolidatedMHrequirementMay25!D26</f>
        <v/>
      </c>
      <c r="H26" s="3">
        <f>ConsolidatedMHrequirementMay25!C26</f>
        <v/>
      </c>
      <c r="I26" s="3">
        <f>ConsolidatedMHrequirementMay25!E26</f>
        <v/>
      </c>
      <c r="J26" s="41">
        <f>VLOOKUP(A26,ConsolidatedMHrequirementMay25!$A$9:$I$42,6,FALSE)</f>
        <v/>
      </c>
      <c r="K26" s="41" t="n"/>
      <c r="L26" s="3">
        <f>J26-K26</f>
        <v/>
      </c>
      <c r="M26" s="120" t="inlineStr">
        <is>
          <t xml:space="preserve"> 2 runn ord (FD exp)+1OCS</t>
        </is>
      </c>
      <c r="V26" s="34" t="inlineStr">
        <is>
          <t>Shortage</t>
        </is>
      </c>
      <c r="W26" s="34">
        <f>168+152-32</f>
        <v/>
      </c>
    </row>
    <row r="27" hidden="1" s="125">
      <c r="A27" s="10" t="inlineStr">
        <is>
          <t>B548</t>
        </is>
      </c>
      <c r="B27" s="3">
        <f>ConsolidatedMHrequirementMay25!B27</f>
        <v/>
      </c>
      <c r="C27" s="41" t="n"/>
      <c r="D27" s="41" t="n"/>
      <c r="E27" s="41" t="n"/>
      <c r="F27" s="41" t="n"/>
      <c r="G27" s="3">
        <f>ConsolidatedMHrequirementMay25!D27</f>
        <v/>
      </c>
      <c r="H27" s="3">
        <f>ConsolidatedMHrequirementMay25!C27</f>
        <v/>
      </c>
      <c r="I27" s="3">
        <f>ConsolidatedMHrequirementMay25!E27</f>
        <v/>
      </c>
      <c r="J27" s="41">
        <f>VLOOKUP(A27,ConsolidatedMHrequirementMay25!$A$9:$I$42,6,FALSE)</f>
        <v/>
      </c>
      <c r="K27" s="41" t="n"/>
      <c r="L27" s="3">
        <f>J27-K27</f>
        <v/>
      </c>
      <c r="M27" s="120" t="n"/>
    </row>
    <row r="28" hidden="1" ht="15" customFormat="1" customHeight="1" s="34">
      <c r="A28" s="10" t="inlineStr">
        <is>
          <t>B559</t>
        </is>
      </c>
      <c r="B28" s="3">
        <f>ConsolidatedMHrequirementMay25!B28</f>
        <v/>
      </c>
      <c r="C28" s="3" t="n"/>
      <c r="D28" s="3" t="n"/>
      <c r="E28" s="3" t="n"/>
      <c r="F28" s="67" t="n"/>
      <c r="G28" s="3">
        <f>ConsolidatedMHrequirementMay25!D28</f>
        <v/>
      </c>
      <c r="H28" s="3">
        <f>ConsolidatedMHrequirementMay25!C28</f>
        <v/>
      </c>
      <c r="I28" s="3" t="n">
        <v>1</v>
      </c>
      <c r="J28" s="41">
        <f>VLOOKUP(A28,ConsolidatedMHrequirementMay25!$A$9:$I$42,6,FALSE)</f>
        <v/>
      </c>
      <c r="K28" s="41" t="n"/>
      <c r="L28" s="3">
        <f>J28-K28</f>
        <v/>
      </c>
      <c r="M28" s="120" t="inlineStr">
        <is>
          <t>IOCL Biturox,Vad-Proj. Prof. uploaded on 20/3- Desk Expediting - NO OCS; 4 orders expediting -1h rel on 24/6 in B559-01[1]</t>
        </is>
      </c>
    </row>
    <row r="29" hidden="1" ht="15" customFormat="1" customHeight="1" s="34">
      <c r="A29" s="10" t="inlineStr">
        <is>
          <t>B560</t>
        </is>
      </c>
      <c r="B29" s="3">
        <f>ConsolidatedMHrequirementMay25!B29</f>
        <v/>
      </c>
      <c r="C29" s="41" t="n"/>
      <c r="D29" s="41" t="n"/>
      <c r="E29" s="41" t="n"/>
      <c r="F29" s="54" t="n"/>
      <c r="G29" s="3">
        <f>ConsolidatedMHrequirementMay25!D29</f>
        <v/>
      </c>
      <c r="H29" s="3">
        <f>ConsolidatedMHrequirementMay25!C29</f>
        <v/>
      </c>
      <c r="I29" s="3">
        <f>ConsolidatedMHrequirementMay25!E29</f>
        <v/>
      </c>
      <c r="J29" s="41">
        <f>VLOOKUP(A29,ConsolidatedMHrequirementMay25!$A$9:$I$42,6,FALSE)</f>
        <v/>
      </c>
      <c r="K29" s="41" t="n"/>
      <c r="L29" s="3">
        <f>J29-K29</f>
        <v/>
      </c>
      <c r="M29" s="120" t="inlineStr">
        <is>
          <t xml:space="preserve"> Req.from ED(I) for expediting on 15/6 - 13 orders (incl.9FD exp &amp; 1 OCS) &amp; OCS also to be made as per latest reqt.; </t>
        </is>
      </c>
    </row>
    <row r="30" hidden="1" s="125">
      <c r="A30" s="10" t="inlineStr">
        <is>
          <t>B589</t>
        </is>
      </c>
      <c r="B30" s="3">
        <f>ConsolidatedMHrequirementMay25!B30</f>
        <v/>
      </c>
      <c r="C30" s="3" t="n"/>
      <c r="D30" s="3" t="n"/>
      <c r="E30" s="3" t="n"/>
      <c r="F30" s="66" t="n"/>
      <c r="G30" s="3">
        <f>ConsolidatedMHrequirementMay25!D30</f>
        <v/>
      </c>
      <c r="H30" s="3">
        <f>ConsolidatedMHrequirementMay25!C30</f>
        <v/>
      </c>
      <c r="I30" s="3">
        <f>ConsolidatedMHrequirementMay25!E30</f>
        <v/>
      </c>
      <c r="J30" s="41">
        <f>VLOOKUP(A30,ConsolidatedMHrequirementMay25!$A$9:$I$42,6,FALSE)</f>
        <v/>
      </c>
      <c r="K30" s="41" t="n"/>
      <c r="L30" s="3">
        <f>J30-K30</f>
        <v/>
      </c>
      <c r="M30" s="120" t="n"/>
      <c r="Q30" s="121" t="n"/>
      <c r="R30" s="121" t="n"/>
      <c r="S30" s="121" t="n"/>
      <c r="T30" s="121" t="n"/>
    </row>
    <row r="31" hidden="1" customFormat="1" s="34">
      <c r="A31" s="10" t="inlineStr">
        <is>
          <t>B650</t>
        </is>
      </c>
      <c r="B31" s="3">
        <f>ConsolidatedMHrequirementMay25!B31</f>
        <v/>
      </c>
      <c r="C31" s="3" t="n"/>
      <c r="D31" s="3" t="n"/>
      <c r="E31" s="3" t="n"/>
      <c r="F31" s="68" t="n"/>
      <c r="G31" s="3">
        <f>ConsolidatedMHrequirementMay25!D31</f>
        <v/>
      </c>
      <c r="H31" s="3">
        <f>ConsolidatedMHrequirementMay25!C31</f>
        <v/>
      </c>
      <c r="I31" s="3">
        <f>ConsolidatedMHrequirementMay25!E31</f>
        <v/>
      </c>
      <c r="J31" s="41">
        <f>VLOOKUP(A31,ConsolidatedMHrequirementMay25!$A$9:$I$42,6,FALSE)</f>
        <v/>
      </c>
      <c r="K31" s="41" t="n"/>
      <c r="L31" s="3">
        <f>J31-K31</f>
        <v/>
      </c>
      <c r="M31" s="120" t="n"/>
      <c r="X31" s="34">
        <f>122+168</f>
        <v/>
      </c>
    </row>
    <row r="32" hidden="1" ht="15" customFormat="1" customHeight="1" s="34">
      <c r="A32" s="10" t="inlineStr">
        <is>
          <t>B653</t>
        </is>
      </c>
      <c r="B32" s="3">
        <f>ConsolidatedMHrequirementMay25!B32</f>
        <v/>
      </c>
      <c r="C32" s="3" t="n"/>
      <c r="D32" s="3" t="n"/>
      <c r="E32" s="3" t="n"/>
      <c r="F32" s="66" t="n"/>
      <c r="G32" s="3">
        <f>ConsolidatedMHrequirementMay25!D32</f>
        <v/>
      </c>
      <c r="H32" s="3">
        <f>ConsolidatedMHrequirementMay25!C32</f>
        <v/>
      </c>
      <c r="I32" s="3">
        <f>ConsolidatedMHrequirementMay25!E32</f>
        <v/>
      </c>
      <c r="J32" s="41">
        <f>VLOOKUP(A32,ConsolidatedMHrequirementMay25!$A$9:$I$42,6,FALSE)</f>
        <v/>
      </c>
      <c r="K32" s="41" t="n"/>
      <c r="L32" s="3">
        <f>J32-K32</f>
        <v/>
      </c>
      <c r="M32" s="120" t="inlineStr">
        <is>
          <t>Expediting by RPOs as per email dtd 22/10/24, OCS by RPO as per CS mail dt 17/1; (13 running ord+1OCS);Univ Insts -Rev. mtg &amp; Show Cause Notice issue reco. -8h</t>
        </is>
      </c>
    </row>
    <row r="33" hidden="1" ht="14.5" customFormat="1" customHeight="1" s="34">
      <c r="A33" s="10" t="inlineStr">
        <is>
          <t>B725</t>
        </is>
      </c>
      <c r="B33" s="3">
        <f>ConsolidatedMHrequirementMay25!B33</f>
        <v/>
      </c>
      <c r="C33" s="3" t="n"/>
      <c r="D33" s="3" t="n"/>
      <c r="E33" s="3" t="n"/>
      <c r="F33" s="68" t="n"/>
      <c r="G33" s="3">
        <f>ConsolidatedMHrequirementMay25!D33</f>
        <v/>
      </c>
      <c r="H33" s="3">
        <f>ConsolidatedMHrequirementMay25!C33</f>
        <v/>
      </c>
      <c r="I33" s="3">
        <f>ConsolidatedMHrequirementMay25!E33</f>
        <v/>
      </c>
      <c r="J33" s="41">
        <f>VLOOKUP(A33,ConsolidatedMHrequirementMay25!$A$9:$I$42,6,FALSE)</f>
        <v/>
      </c>
      <c r="K33" s="41" t="n"/>
      <c r="L33" s="3">
        <f>J33-K33</f>
        <v/>
      </c>
      <c r="M33" s="120" t="n"/>
    </row>
    <row r="34" hidden="1" ht="14.5" customFormat="1" customHeight="1" s="34">
      <c r="A34" s="10" t="inlineStr">
        <is>
          <t>B767</t>
        </is>
      </c>
      <c r="B34" s="3">
        <f>ConsolidatedMHrequirementMay25!B34</f>
        <v/>
      </c>
      <c r="C34" s="3" t="n"/>
      <c r="D34" s="3" t="n"/>
      <c r="E34" s="3" t="n"/>
      <c r="F34" s="68" t="n"/>
      <c r="G34" s="3">
        <f>ConsolidatedMHrequirementMay25!D34</f>
        <v/>
      </c>
      <c r="H34" s="3">
        <f>ConsolidatedMHrequirementMay25!C34</f>
        <v/>
      </c>
      <c r="I34" s="3">
        <f>ConsolidatedMHrequirementMay25!E34</f>
        <v/>
      </c>
      <c r="J34" s="41">
        <f>VLOOKUP(A34,ConsolidatedMHrequirementMay25!$A$9:$I$42,6,FALSE)</f>
        <v/>
      </c>
      <c r="K34" s="41" t="n"/>
      <c r="L34" s="3">
        <f>J34-K34</f>
        <v/>
      </c>
      <c r="M34" s="120" t="n"/>
      <c r="N34" s="121" t="n"/>
      <c r="O34" s="121" t="n"/>
      <c r="P34" s="121" t="n"/>
    </row>
    <row r="35" hidden="1" ht="14.5" customFormat="1" customHeight="1" s="34">
      <c r="A35" s="10" t="inlineStr">
        <is>
          <t>B795</t>
        </is>
      </c>
      <c r="B35" s="3">
        <f>ConsolidatedMHrequirementMay25!B35</f>
        <v/>
      </c>
      <c r="C35" s="3" t="n"/>
      <c r="D35" s="3" t="n"/>
      <c r="E35" s="3" t="n"/>
      <c r="F35" s="68" t="n"/>
      <c r="G35" s="3">
        <f>ConsolidatedMHrequirementMay25!D35</f>
        <v/>
      </c>
      <c r="H35" s="3">
        <f>ConsolidatedMHrequirementMay25!C35</f>
        <v/>
      </c>
      <c r="I35" s="3">
        <f>ConsolidatedMHrequirementMay25!E35</f>
        <v/>
      </c>
      <c r="J35" s="41">
        <f>VLOOKUP(A35,ConsolidatedMHrequirementMay25!$A$9:$I$42,6,FALSE)</f>
        <v/>
      </c>
      <c r="K35" s="41" t="n"/>
      <c r="L35" s="3">
        <f>J35-K35</f>
        <v/>
      </c>
      <c r="M35" s="120" t="n"/>
      <c r="N35" s="121" t="n"/>
      <c r="O35" s="121" t="n"/>
      <c r="P35" s="121" t="n"/>
    </row>
    <row r="36" hidden="1" ht="14.5" customFormat="1" customHeight="1" s="34">
      <c r="A36" s="10" t="inlineStr">
        <is>
          <t>B813</t>
        </is>
      </c>
      <c r="B36" s="3" t="n">
        <v>1</v>
      </c>
      <c r="C36" s="3" t="n"/>
      <c r="D36" s="3" t="n"/>
      <c r="E36" s="3" t="n"/>
      <c r="F36" s="68" t="n"/>
      <c r="G36" s="3">
        <f>ConsolidatedMHrequirementMay25!D36</f>
        <v/>
      </c>
      <c r="H36" s="3">
        <f>ConsolidatedMHrequirementMay25!C36</f>
        <v/>
      </c>
      <c r="I36" s="3">
        <f>ConsolidatedMHrequirementMay25!E36</f>
        <v/>
      </c>
      <c r="J36" s="41">
        <f>VLOOKUP(A36,ConsolidatedMHrequirementMay25!$A$9:$I$42,6,FALSE)</f>
        <v/>
      </c>
      <c r="K36" s="41" t="n"/>
      <c r="L36" s="3">
        <f>J36-K36</f>
        <v/>
      </c>
      <c r="M36" s="120" t="inlineStr">
        <is>
          <t>1 order on KSBMIL</t>
        </is>
      </c>
      <c r="N36" s="121" t="n"/>
      <c r="O36" s="121" t="n"/>
      <c r="P36" s="121" t="n"/>
    </row>
    <row r="37" hidden="1" ht="22" customFormat="1" customHeight="1" s="34">
      <c r="A37" s="10" t="inlineStr">
        <is>
          <t>B862</t>
        </is>
      </c>
      <c r="B37" s="3">
        <f>ConsolidatedMHrequirementMay25!B37</f>
        <v/>
      </c>
      <c r="C37" s="3" t="n"/>
      <c r="D37" s="3" t="n"/>
      <c r="E37" s="3" t="n"/>
      <c r="F37" s="66" t="n"/>
      <c r="G37" s="3">
        <f>ConsolidatedMHrequirementMay25!D37</f>
        <v/>
      </c>
      <c r="H37" s="3">
        <f>ConsolidatedMHrequirementMay25!C37</f>
        <v/>
      </c>
      <c r="I37" s="3">
        <f>ConsolidatedMHrequirementMay25!E37</f>
        <v/>
      </c>
      <c r="J37" s="70">
        <f>VLOOKUP(A37,ConsolidatedMHrequirementMay25!$A$9:$I$42,6,FALSE)</f>
        <v/>
      </c>
      <c r="K37" s="41" t="n"/>
      <c r="L37" s="3">
        <f>J37-K37</f>
        <v/>
      </c>
      <c r="M37" s="120" t="n"/>
    </row>
    <row r="38" hidden="1" ht="19" customFormat="1" customHeight="1" s="34">
      <c r="A38" s="10" t="inlineStr">
        <is>
          <t>B865</t>
        </is>
      </c>
      <c r="B38" s="3">
        <f>ConsolidatedMHrequirementMay25!B38</f>
        <v/>
      </c>
      <c r="C38" s="3" t="n"/>
      <c r="D38" s="3" t="n"/>
      <c r="E38" s="3" t="n"/>
      <c r="F38" s="66" t="n"/>
      <c r="G38" s="3">
        <f>ConsolidatedMHrequirementMay25!D38</f>
        <v/>
      </c>
      <c r="H38" s="3">
        <f>ConsolidatedMHrequirementMay25!C38</f>
        <v/>
      </c>
      <c r="I38" s="3">
        <f>ConsolidatedMHrequirementMay25!E38</f>
        <v/>
      </c>
      <c r="J38" s="70">
        <f>VLOOKUP(A38,ConsolidatedMHrequirementMay25!$A$9:$I$42,6,FALSE)</f>
        <v/>
      </c>
      <c r="K38" s="44" t="n"/>
      <c r="L38" s="3">
        <f>J38-K38</f>
        <v/>
      </c>
      <c r="M38" s="120" t="n"/>
    </row>
    <row r="39" hidden="1" ht="20" customFormat="1" customHeight="1" s="34">
      <c r="A39" s="10" t="inlineStr">
        <is>
          <t>B903</t>
        </is>
      </c>
      <c r="B39" s="3">
        <f>ConsolidatedMHrequirementMay25!B39</f>
        <v/>
      </c>
      <c r="C39" s="3" t="n"/>
      <c r="D39" s="3" t="n"/>
      <c r="E39" s="3" t="n"/>
      <c r="F39" s="66" t="n"/>
      <c r="G39" s="3">
        <f>ConsolidatedMHrequirementMay25!D39</f>
        <v/>
      </c>
      <c r="H39" s="3">
        <f>ConsolidatedMHrequirementMay25!C39</f>
        <v/>
      </c>
      <c r="I39" s="3">
        <f>ConsolidatedMHrequirementMay25!E39</f>
        <v/>
      </c>
      <c r="J39" s="70">
        <f>VLOOKUP(A39,ConsolidatedMHrequirementMay25!$A$9:$I$42,6,FALSE)</f>
        <v/>
      </c>
      <c r="K39" s="54" t="n"/>
      <c r="L39" s="3">
        <f>J39-K39</f>
        <v/>
      </c>
      <c r="M39" s="120" t="n"/>
    </row>
    <row r="40" hidden="1" customFormat="1" s="34">
      <c r="A40" s="10" t="inlineStr">
        <is>
          <t>B904</t>
        </is>
      </c>
      <c r="B40" s="3">
        <f>ConsolidatedMHrequirementMay25!B40</f>
        <v/>
      </c>
      <c r="C40" s="41" t="n"/>
      <c r="D40" s="41" t="n"/>
      <c r="E40" s="41" t="n"/>
      <c r="F40" s="54" t="n"/>
      <c r="G40" s="3">
        <f>ConsolidatedMHrequirementMay25!D40</f>
        <v/>
      </c>
      <c r="H40" s="3">
        <f>ConsolidatedMHrequirementMay25!C40</f>
        <v/>
      </c>
      <c r="I40" s="3">
        <f>ConsolidatedMHrequirementMay25!E40</f>
        <v/>
      </c>
      <c r="J40" s="41">
        <f>VLOOKUP(A40,ConsolidatedMHrequirementMay25!$A$9:$I$42,6,FALSE)</f>
        <v/>
      </c>
      <c r="K40" s="41" t="n"/>
      <c r="L40" s="3">
        <f>J40-K40</f>
        <v/>
      </c>
      <c r="M40" s="120" t="n"/>
    </row>
    <row r="41" hidden="1" s="125">
      <c r="A41" s="3" t="inlineStr">
        <is>
          <t>Leave</t>
        </is>
      </c>
      <c r="B41" s="3">
        <f>ConsolidatedMHrequirementMay25!B42</f>
        <v/>
      </c>
      <c r="C41" s="3" t="n"/>
      <c r="D41" s="3" t="n"/>
      <c r="E41" s="3" t="n"/>
      <c r="F41" s="3" t="n"/>
      <c r="G41" s="3">
        <f>ConsolidatedMHrequirementMay25!D42</f>
        <v/>
      </c>
      <c r="H41" s="3">
        <f>ConsolidatedMHrequirementMay25!C42</f>
        <v/>
      </c>
      <c r="I41" s="3">
        <f>ConsolidatedMHrequirementMay25!E42</f>
        <v/>
      </c>
      <c r="J41" s="41">
        <f>VLOOKUP(A41,ConsolidatedMHrequirementMay25!$A$9:$I$42,6,FALSE)</f>
        <v/>
      </c>
      <c r="K41" s="3" t="n">
        <v>36</v>
      </c>
      <c r="L41" s="3">
        <f>J41-K41</f>
        <v/>
      </c>
      <c r="M41" t="inlineStr">
        <is>
          <t xml:space="preserve"> AG:7/5(0.5);SV-21,22,23/5;US;BT-;NV:5/5(1)</t>
        </is>
      </c>
    </row>
    <row r="42" hidden="1" s="125">
      <c r="A42" s="3" t="inlineStr">
        <is>
          <t>Total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41">
        <f>SUM(J4:J41)</f>
        <v/>
      </c>
      <c r="K42" s="3">
        <f>SUM(K4:K41)</f>
        <v/>
      </c>
      <c r="L42" s="3">
        <f>SUM(L4:L41)</f>
        <v/>
      </c>
    </row>
    <row r="43">
      <c r="A43" s="55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55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24" t="inlineStr">
        <is>
          <t xml:space="preserve">Guidelines : </t>
        </is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</row>
    <row r="46">
      <c r="A46" s="26" t="inlineStr">
        <is>
          <t>1. Inspection Visit including review and endorsement of final documents: At  actual</t>
        </is>
      </c>
      <c r="B46" s="26" t="n"/>
    </row>
    <row r="47">
      <c r="A47" s="26" t="inlineStr">
        <is>
          <t xml:space="preserve">2. Expediting and preparation of expediting report: Average 2 hours /month /order ( No separate man hours for coordination ) </t>
        </is>
      </c>
    </row>
    <row r="48">
      <c r="A48" s="26" t="inlineStr">
        <is>
          <t xml:space="preserve">3. Expediting visit/ Attending meeting with project/.Client: At  actual </t>
        </is>
      </c>
    </row>
    <row r="49">
      <c r="A49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0">
      <c r="A50" s="26" t="inlineStr">
        <is>
          <t xml:space="preserve">5. Review of ITP for Equipment (Mechanical and Electrical/DCS etc): Average 2 hours/order </t>
        </is>
      </c>
    </row>
    <row r="51">
      <c r="A51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2">
      <c r="A52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3">
      <c r="A53" s="26" t="inlineStr">
        <is>
          <t xml:space="preserve">8. Order Closing report: Average 2 hours/Order  </t>
        </is>
      </c>
    </row>
  </sheetData>
  <autoFilter ref="A3:L42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mergeCells count="29">
    <mergeCell ref="M24:P24"/>
    <mergeCell ref="M38:P38"/>
    <mergeCell ref="M29:P29"/>
    <mergeCell ref="M19:P19"/>
    <mergeCell ref="M20:T20"/>
    <mergeCell ref="M11:T11"/>
    <mergeCell ref="M26:R26"/>
    <mergeCell ref="M10:T10"/>
    <mergeCell ref="M22:T22"/>
    <mergeCell ref="M32:R32"/>
    <mergeCell ref="M39:P39"/>
    <mergeCell ref="M25:T25"/>
    <mergeCell ref="M12:T12"/>
    <mergeCell ref="M21:T21"/>
    <mergeCell ref="M27:T27"/>
    <mergeCell ref="M18:T18"/>
    <mergeCell ref="M17:T17"/>
    <mergeCell ref="M31:P31"/>
    <mergeCell ref="M40:P40"/>
    <mergeCell ref="M16:P16"/>
    <mergeCell ref="M13:P13"/>
    <mergeCell ref="M7:P7"/>
    <mergeCell ref="M30:P30"/>
    <mergeCell ref="M23:T23"/>
    <mergeCell ref="M6:P6"/>
    <mergeCell ref="M15:P15"/>
    <mergeCell ref="M28:P28"/>
    <mergeCell ref="M37:P37"/>
    <mergeCell ref="M33:P33"/>
  </mergeCells>
  <pageMargins left="0.7" right="0.7" top="0.75" bottom="0.75" header="0.3" footer="0.3"/>
  <pageSetup orientation="landscape" scale="7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topLeftCell="A16" zoomScale="81" zoomScaleNormal="81" workbookViewId="0">
      <selection activeCell="H17" sqref="H17"/>
    </sheetView>
  </sheetViews>
  <sheetFormatPr baseColWidth="8" defaultRowHeight="14.5"/>
  <cols>
    <col width="12.453125" customWidth="1" style="4" min="1" max="1"/>
    <col width="10.54296875" customWidth="1" style="125" min="2" max="2"/>
    <col width="17.08984375" customWidth="1" style="125" min="9" max="9"/>
    <col width="15" customWidth="1" style="125" min="13" max="15"/>
  </cols>
  <sheetData>
    <row r="1">
      <c r="A1" s="118" t="inlineStr">
        <is>
          <t>Consolidated man hour requirement  for Jun'25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>
      <c r="A2" s="52">
        <f>(21*8*6)</f>
        <v/>
      </c>
      <c r="B2" s="111" t="n"/>
      <c r="C2" s="111" t="n"/>
      <c r="D2" s="111" t="n"/>
      <c r="E2" s="111" t="n"/>
      <c r="F2" s="111" t="n"/>
      <c r="G2" s="111" t="n"/>
      <c r="H2" s="111" t="n"/>
      <c r="I2" s="112" t="n"/>
      <c r="J2" s="1" t="n"/>
      <c r="K2" s="111" t="n"/>
      <c r="L2" s="111" t="n"/>
      <c r="M2" s="112" t="n"/>
    </row>
    <row r="3" ht="41.25" customHeight="1" s="125">
      <c r="A3" s="3" t="inlineStr">
        <is>
          <t>Job No</t>
        </is>
      </c>
      <c r="B3" s="3" t="inlineStr">
        <is>
          <t>No. of orders</t>
        </is>
      </c>
      <c r="C3" s="3" t="inlineStr">
        <is>
          <t>Exp.</t>
        </is>
      </c>
      <c r="D3" s="3" t="inlineStr">
        <is>
          <t>Inspn</t>
        </is>
      </c>
      <c r="E3" s="9" t="inlineStr">
        <is>
          <t>Others</t>
        </is>
      </c>
      <c r="F3" s="3" t="inlineStr">
        <is>
          <t>Total</t>
        </is>
      </c>
      <c r="G3" s="1" t="inlineStr">
        <is>
          <t>*Others/ Remarks</t>
        </is>
      </c>
      <c r="H3" s="111" t="n"/>
      <c r="I3" s="112" t="n"/>
      <c r="J3" s="110" t="inlineStr">
        <is>
          <t>Insp/ Project Coordinators</t>
        </is>
      </c>
      <c r="K3" s="111" t="n"/>
      <c r="L3" s="111" t="n"/>
      <c r="M3" s="112" t="n"/>
      <c r="N3" s="2" t="inlineStr">
        <is>
          <t xml:space="preserve">MH available as on </t>
        </is>
      </c>
      <c r="O3" s="5" t="inlineStr">
        <is>
          <t>MH to be released for Jun'25</t>
        </is>
      </c>
      <c r="P3" t="inlineStr">
        <is>
          <t>Allotted</t>
        </is>
      </c>
      <c r="Q3" t="inlineStr">
        <is>
          <t>8518 reqd</t>
        </is>
      </c>
    </row>
    <row r="4" ht="51.5" customHeight="1" s="125">
      <c r="A4" s="3" t="n">
        <v>4994</v>
      </c>
      <c r="B4" s="3" t="n">
        <v>2</v>
      </c>
      <c r="C4" s="3" t="n"/>
      <c r="D4" s="3" t="n"/>
      <c r="E4" s="9">
        <f>8*2</f>
        <v/>
      </c>
      <c r="F4" s="3">
        <f>SUM(C4:E4)</f>
        <v/>
      </c>
      <c r="G4" s="62" t="inlineStr">
        <is>
          <t>Reval:ABB;IPA (2d)</t>
        </is>
      </c>
      <c r="H4" s="63" t="n"/>
      <c r="I4" s="64" t="n"/>
      <c r="J4" s="110" t="inlineStr">
        <is>
          <t>Rajesh Sinha</t>
        </is>
      </c>
      <c r="K4" s="111" t="n"/>
      <c r="L4" s="111" t="n"/>
      <c r="M4" s="112" t="n"/>
      <c r="N4" s="3" t="n">
        <v>0</v>
      </c>
      <c r="O4" s="3" t="n">
        <v>32</v>
      </c>
      <c r="P4" t="n">
        <v>0</v>
      </c>
      <c r="Q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</t>
        </is>
      </c>
    </row>
    <row r="5" ht="46" customHeight="1" s="125">
      <c r="A5" s="3" t="n">
        <v>6979</v>
      </c>
      <c r="B5" s="3" t="n"/>
      <c r="C5" s="3" t="n"/>
      <c r="D5" s="3" t="n"/>
      <c r="E5" s="9" t="n"/>
      <c r="F5" s="3" t="n">
        <v>0</v>
      </c>
      <c r="G5" s="56" t="n"/>
      <c r="H5" s="56" t="n"/>
      <c r="I5" s="56" t="n"/>
      <c r="J5" s="110" t="n"/>
      <c r="K5" s="111" t="n"/>
      <c r="L5" s="111" t="n"/>
      <c r="M5" s="112" t="n"/>
      <c r="N5" s="3" t="n"/>
      <c r="O5" s="3" t="n"/>
      <c r="Q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>
        <v>0</v>
      </c>
      <c r="E6" s="9">
        <f>8*0</f>
        <v/>
      </c>
      <c r="F6" s="3">
        <f>SUM(C6:E6)</f>
        <v/>
      </c>
      <c r="G6" s="62" t="n"/>
      <c r="H6" s="63" t="n"/>
      <c r="I6" s="64" t="n"/>
      <c r="J6" s="110" t="inlineStr">
        <is>
          <t>Sanjeev Kumar/ Yatendra Agrawal - EIB Renovation</t>
        </is>
      </c>
      <c r="K6" s="111" t="n"/>
      <c r="L6" s="111" t="n"/>
      <c r="M6" s="112" t="n"/>
      <c r="N6" s="3" t="n"/>
      <c r="O6" s="3" t="n"/>
      <c r="P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>
        <v>0</v>
      </c>
      <c r="D7" s="3" t="n">
        <v>0</v>
      </c>
      <c r="E7" s="9" t="n"/>
      <c r="F7" s="3" t="n">
        <v>200</v>
      </c>
      <c r="G7" s="62" t="inlineStr">
        <is>
          <t>Admin works,Insp Guidelines/Typ Test review/ITP revision(E&amp;I ITPS)/Std. Spec review-mtgs with Inst. Engg. on Cryo Test Procedure &amp; Flow Meter MR improvements,other miscellaneous works incl. Dept Mtg, Office enhancement efforts,Short Term Contracts, New Facility Mgmt Tender requirements freeze etc.,Mktg leads, Hosp Nomination;All Mech ITPs, Mag/Vortex/Mass FM ITPs,QM,KM;600h rel on 25/7[169998]</t>
        </is>
      </c>
      <c r="H7" s="63" t="n"/>
      <c r="I7" s="64" t="n"/>
      <c r="J7" s="110" t="inlineStr">
        <is>
          <t xml:space="preserve"> Tech Develop &amp; OH</t>
        </is>
      </c>
      <c r="K7" s="111" t="n"/>
      <c r="L7" s="111" t="n"/>
      <c r="M7" s="112" t="n"/>
      <c r="N7" s="3" t="n">
        <v>300</v>
      </c>
      <c r="O7" s="3" t="n"/>
      <c r="Q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25/7[169998]</t>
        </is>
      </c>
    </row>
    <row r="8" ht="123" customHeight="1" s="125">
      <c r="A8" s="3" t="n">
        <v>8590</v>
      </c>
      <c r="B8" s="3" t="n"/>
      <c r="C8" s="3" t="n"/>
      <c r="D8" s="3" t="n">
        <v>0</v>
      </c>
      <c r="E8" s="9" t="n"/>
      <c r="F8" s="3">
        <f>SUM(C8:E8)</f>
        <v/>
      </c>
      <c r="G8" s="56" t="n"/>
      <c r="H8" s="60" t="n"/>
      <c r="I8" s="61" t="n"/>
      <c r="J8" s="110" t="n"/>
      <c r="K8" s="111" t="n"/>
      <c r="L8" s="111" t="n"/>
      <c r="M8" s="112" t="n"/>
      <c r="N8" s="3" t="n"/>
      <c r="O8" s="3" t="n"/>
    </row>
    <row r="9" ht="41.25" customHeight="1" s="125">
      <c r="A9" s="3" t="inlineStr">
        <is>
          <t>B016</t>
        </is>
      </c>
      <c r="B9" s="3" t="n">
        <v>0</v>
      </c>
      <c r="C9" s="3" t="n">
        <v>0</v>
      </c>
      <c r="D9" s="3" t="n"/>
      <c r="E9" s="9" t="n">
        <v>0</v>
      </c>
      <c r="F9" s="3" t="n">
        <v>0</v>
      </c>
      <c r="G9" s="57" t="inlineStr">
        <is>
          <t xml:space="preserve"> </t>
        </is>
      </c>
      <c r="H9" s="58" t="inlineStr">
        <is>
          <t xml:space="preserve"> </t>
        </is>
      </c>
      <c r="I9" s="59" t="inlineStr">
        <is>
          <t xml:space="preserve"> </t>
        </is>
      </c>
      <c r="J9" s="110" t="inlineStr">
        <is>
          <t>Uday Pratap Singh/Pankaj Saxena/Alok Singh</t>
        </is>
      </c>
      <c r="K9" s="111" t="n"/>
      <c r="L9" s="111" t="n"/>
      <c r="M9" s="112" t="n"/>
      <c r="N9" s="2" t="n"/>
      <c r="O9" s="5" t="n"/>
      <c r="Q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1</v>
      </c>
      <c r="C10" s="3">
        <f>1*8</f>
        <v/>
      </c>
      <c r="D10" s="3" t="n">
        <v>0</v>
      </c>
      <c r="E10" s="12" t="n">
        <v>0</v>
      </c>
      <c r="F10" s="3">
        <f>C10+D10+E10</f>
        <v/>
      </c>
      <c r="G10" s="126" t="inlineStr">
        <is>
          <t>Expediting - Greensol;</t>
        </is>
      </c>
      <c r="H10" s="111" t="n"/>
      <c r="I10" s="112" t="n"/>
      <c r="J10" s="110" t="inlineStr">
        <is>
          <t>Saeed Akhtar/ D Jana</t>
        </is>
      </c>
      <c r="K10" s="111" t="n"/>
      <c r="L10" s="111" t="n"/>
      <c r="M10" s="112" t="n"/>
      <c r="N10" s="3" t="n">
        <v>0</v>
      </c>
      <c r="O10" s="3">
        <f>F10-N10</f>
        <v/>
      </c>
      <c r="P10" t="inlineStr">
        <is>
          <t xml:space="preserve"> </t>
        </is>
      </c>
      <c r="Q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1</v>
      </c>
      <c r="C11" s="3">
        <f>2*B11</f>
        <v/>
      </c>
      <c r="D11" s="3" t="n">
        <v>0</v>
      </c>
      <c r="E11" s="9" t="n">
        <v>0</v>
      </c>
      <c r="F11" s="3">
        <f>C11+D11+E11</f>
        <v/>
      </c>
      <c r="G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H11" s="111" t="n"/>
      <c r="I11" s="112" t="n"/>
      <c r="J11" s="110" t="inlineStr">
        <is>
          <t>Himanghsu Pal/Sanjeev Kumar/Aasheesh Handa</t>
        </is>
      </c>
      <c r="K11" s="111" t="n"/>
      <c r="L11" s="111" t="n"/>
      <c r="M11" s="112" t="n"/>
      <c r="N11" s="3" t="n">
        <v>0</v>
      </c>
      <c r="O11" s="3">
        <f>F11-N11</f>
        <v/>
      </c>
      <c r="Q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1</v>
      </c>
      <c r="C12" s="3" t="n">
        <v>0</v>
      </c>
      <c r="D12" s="3" t="n"/>
      <c r="E12" s="9" t="n"/>
      <c r="F12" s="3" t="n">
        <v>0</v>
      </c>
      <c r="G12" s="56" t="inlineStr">
        <is>
          <t xml:space="preserve"> </t>
        </is>
      </c>
      <c r="H12" s="60" t="n"/>
      <c r="I12" s="61" t="n"/>
      <c r="J12" s="110" t="inlineStr">
        <is>
          <t>Patra/Sanjay Dhuria</t>
        </is>
      </c>
      <c r="K12" s="111" t="n"/>
      <c r="L12" s="111" t="n"/>
      <c r="M12" s="112" t="n"/>
      <c r="N12" s="3" t="n"/>
      <c r="O12" s="3" t="n"/>
      <c r="Q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inlineStr">
        <is>
          <t xml:space="preserve"> </t>
        </is>
      </c>
      <c r="D13" s="3" t="inlineStr">
        <is>
          <t xml:space="preserve"> </t>
        </is>
      </c>
      <c r="E13" s="9" t="n"/>
      <c r="F13" s="3">
        <f>8*14</f>
        <v/>
      </c>
      <c r="G13" s="62" t="inlineStr">
        <is>
          <t>Insp: Tecnip/YIL -Anal-26/6(1d);Emerson/FCRI-24-26/6(3d);KSBMIL-18-20,IRN end-30/6(3.5d);Afcons/Microfinish-4/6(1d);Doc Rev: MEIL-SRU/HBL QAP-23/6-(0.5d),Codel/Forbes Cords QAP-19/6(0.5d);JSW/GE- QAP-25/6 (0.5d);KEC QAP rev -9/6(0.5d);Flowserve/ABB QAP-4/6(0.5d);Nov-Drives QAP-9/6(0.5d); Cords Cables -11/6(0.5d); CGL-5/6(0.5d);O2Anal -11/6(0.5d);GWR Txer-11/6(0.5d);KSBMIL-11/6(0.5d);ICE Asia -12/6(0.5d);150mh rel on 25/7[6298]</t>
        </is>
      </c>
      <c r="H13" s="63" t="n"/>
      <c r="I13" s="64" t="n"/>
      <c r="J13" s="110" t="inlineStr">
        <is>
          <t>Mr Dipak Panchal / Mr Sunil Saurabh/ Mr R.K.Mohabe/Neena Mukherjee</t>
        </is>
      </c>
      <c r="K13" s="111" t="n"/>
      <c r="L13" s="111" t="n"/>
      <c r="M13" s="112" t="n"/>
      <c r="N13" s="3" t="n">
        <v>0</v>
      </c>
      <c r="O13" s="3" t="n">
        <v>56</v>
      </c>
      <c r="Q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>
        <f>2*B14</f>
        <v/>
      </c>
      <c r="D14" s="3" t="n"/>
      <c r="E14" s="9" t="n">
        <v>0</v>
      </c>
      <c r="F14" s="3">
        <f>SUM(C14:E14)</f>
        <v/>
      </c>
      <c r="G14" s="62" t="n"/>
      <c r="H14" s="63" t="n"/>
      <c r="I14" s="64" t="n"/>
      <c r="J14" s="110" t="inlineStr">
        <is>
          <t>Patra/JPS Kalra/DK Kesri</t>
        </is>
      </c>
      <c r="K14" s="111" t="n"/>
      <c r="L14" s="111" t="n"/>
      <c r="M14" s="112" t="n"/>
      <c r="N14" s="3" t="n"/>
      <c r="O14" s="3" t="n"/>
      <c r="Q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16</v>
      </c>
      <c r="C15" s="3">
        <f>2*B15+4*2</f>
        <v/>
      </c>
      <c r="D15" s="3">
        <f>8*9</f>
        <v/>
      </c>
      <c r="E15" s="9">
        <f>8*1</f>
        <v/>
      </c>
      <c r="F15" s="3">
        <f>SUM(C15:E15)</f>
        <v/>
      </c>
      <c r="G15" s="62" t="inlineStr">
        <is>
          <t>12 running orders+ 4Orders FD sub expediting+1OCS; Critical Item Insp - YIL- AVU FAT- 5d (23-28/6)-(6d); BDK visit- 11-13/5(3d)-posting for expediting rectification/replacement of valves recd.frm site;VC with BDK -17,26/6(1d);</t>
        </is>
      </c>
      <c r="H15" s="63" t="n"/>
      <c r="I15" s="64" t="n"/>
      <c r="J15" s="110" t="inlineStr">
        <is>
          <t>Chandrashekhar/Rajesh Bhatla/Arun Singh Arya/Sanjay Chaudhary</t>
        </is>
      </c>
      <c r="K15" s="111" t="n"/>
      <c r="L15" s="111" t="n"/>
      <c r="M15" s="112" t="n"/>
      <c r="N15" s="3" t="n">
        <v>0</v>
      </c>
      <c r="O15" s="3" t="n"/>
      <c r="Q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</t>
        </is>
      </c>
    </row>
    <row r="16" ht="51.5" customHeight="1" s="125">
      <c r="A16" s="10" t="inlineStr">
        <is>
          <t>B285</t>
        </is>
      </c>
      <c r="B16" s="3" t="n"/>
      <c r="C16" s="3" t="n"/>
      <c r="D16" s="3" t="n"/>
      <c r="E16" s="9" t="n"/>
      <c r="F16" s="3" t="n">
        <v>0</v>
      </c>
      <c r="G16" s="56" t="inlineStr">
        <is>
          <t xml:space="preserve"> </t>
        </is>
      </c>
      <c r="H16" s="60" t="n"/>
      <c r="I16" s="61" t="n"/>
      <c r="J16" s="110" t="inlineStr">
        <is>
          <t>Sanjeev Kumar/Vikalp Paliwal</t>
        </is>
      </c>
      <c r="K16" s="111" t="n"/>
      <c r="L16" s="111" t="n"/>
      <c r="M16" s="112" t="n"/>
      <c r="N16" s="3" t="n"/>
      <c r="O16" s="3" t="n"/>
    </row>
    <row r="17" ht="112" customHeight="1" s="125">
      <c r="A17" s="10" t="inlineStr">
        <is>
          <t>B297</t>
        </is>
      </c>
      <c r="B17" s="3" t="n">
        <v>4</v>
      </c>
      <c r="C17" s="3">
        <f>7*2+4</f>
        <v/>
      </c>
      <c r="D17" s="3" t="n">
        <v>0</v>
      </c>
      <c r="E17" s="9">
        <f>8*0.5</f>
        <v/>
      </c>
      <c r="F17" s="3">
        <f>SUM(C17:E17)</f>
        <v/>
      </c>
      <c r="G17" s="62" t="inlineStr">
        <is>
          <t>Exp-4 ord-1 runn ord, 2-FD sub exp,1-OCS; HAL Ofshore -MF expediting</t>
        </is>
      </c>
      <c r="H17" s="63" t="n"/>
      <c r="I17" s="64" t="n"/>
      <c r="J17" s="110" t="inlineStr">
        <is>
          <t>Chandrashekar/NS Vasudev/Manish Tiwari - GAIL Pata</t>
        </is>
      </c>
      <c r="K17" s="111" t="n"/>
      <c r="L17" s="111" t="n"/>
      <c r="M17" s="112" t="n"/>
      <c r="N17" s="3" t="n">
        <v>10</v>
      </c>
      <c r="O17" s="3" t="n"/>
      <c r="Q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4</v>
      </c>
      <c r="C18" s="3">
        <f>2*4+4*2</f>
        <v/>
      </c>
      <c r="D18" s="3">
        <f>9</f>
        <v/>
      </c>
      <c r="E18" s="9">
        <f>8*3</f>
        <v/>
      </c>
      <c r="F18" s="3">
        <f>SUM(C18:E18)</f>
        <v/>
      </c>
      <c r="G18" s="62" t="inlineStr">
        <is>
          <t>4 Running orders ; 8731-KEPL/TMEIC-Drives insp- 6,17-20/6 (5d);2162-Doc Rev/IRN-26/6(0.5d);Likita/Statcon-Solar QAPs Appl- 15/6(1d);Likita/Chetan -FA &amp; CO2Flooding QAP appl 23/6(1d);-Shirdi Sai -Online mtg/clarifications- 32h rel for Apr-Jun'25 against 6979 on 28/7[234]</t>
        </is>
      </c>
      <c r="H18" s="63" t="n"/>
      <c r="I18" s="64" t="n"/>
      <c r="J18" s="110" t="inlineStr">
        <is>
          <t>Suresh/D Jana(302-1)/Sivakumar(302-2)/Abhishek Rai/Balbir Singh (01-P/L &amp; 02- COT) - pump order - 02; FOA also to incl. Unit no for correlation</t>
        </is>
      </c>
      <c r="K18" s="111" t="n"/>
      <c r="L18" s="111" t="n"/>
      <c r="M18" s="112" t="n"/>
      <c r="N18" s="3" t="n"/>
      <c r="O18" s="3" t="n"/>
      <c r="Q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12</v>
      </c>
      <c r="C19" s="3">
        <f>2*B19+2*2</f>
        <v/>
      </c>
      <c r="D19" s="3" t="n">
        <v>0</v>
      </c>
      <c r="E19" s="9" t="n">
        <v>0</v>
      </c>
      <c r="F19" s="3">
        <f>SUM(C19:E19)</f>
        <v/>
      </c>
      <c r="G19" s="62" t="inlineStr">
        <is>
          <t>11 Running orders +1 FD exp.10h rel on 23/7[194]</t>
        </is>
      </c>
      <c r="H19" s="62" t="n"/>
      <c r="I19" s="62" t="n"/>
      <c r="J19" s="110" t="inlineStr">
        <is>
          <t>Himangshu/Sanjeev Kumar/Lavish/HarshVardhan</t>
        </is>
      </c>
      <c r="K19" s="111" t="n"/>
      <c r="L19" s="111" t="n"/>
      <c r="M19" s="112" t="n"/>
      <c r="N19" s="3" t="n">
        <v>1</v>
      </c>
      <c r="O19" s="3" t="n"/>
      <c r="Q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15/4[162];10h rel on 23/7[194]</t>
        </is>
      </c>
    </row>
    <row r="20" ht="83.5" customHeight="1" s="125">
      <c r="A20" s="3" t="inlineStr">
        <is>
          <t>B359</t>
        </is>
      </c>
      <c r="B20" s="3" t="n"/>
      <c r="C20" s="3" t="n"/>
      <c r="D20" s="3" t="n">
        <v>0</v>
      </c>
      <c r="E20" s="9" t="n">
        <v>0</v>
      </c>
      <c r="F20" s="3">
        <f>SUM(C20:E20)</f>
        <v/>
      </c>
      <c r="G20" s="62" t="inlineStr">
        <is>
          <t xml:space="preserve"> </t>
        </is>
      </c>
      <c r="H20" s="62" t="n"/>
      <c r="I20" s="62" t="n"/>
      <c r="J20" s="110" t="inlineStr">
        <is>
          <t>Chandrashekhar/Sumanta Mondal/Abhishek/Sarvesh Kumar</t>
        </is>
      </c>
      <c r="K20" s="111" t="n"/>
      <c r="L20" s="111" t="n"/>
      <c r="M20" s="112" t="n"/>
      <c r="N20" s="3" t="n"/>
      <c r="O20" s="3" t="n"/>
      <c r="Q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s="3" t="n">
        <v>20</v>
      </c>
      <c r="C21" s="3">
        <f>2*B21+2*4</f>
        <v/>
      </c>
      <c r="D21" s="3">
        <f>8*23.5</f>
        <v/>
      </c>
      <c r="E21" s="9">
        <f>8*1</f>
        <v/>
      </c>
      <c r="F21" s="3">
        <f>SUM(C21:E21)</f>
        <v/>
      </c>
      <c r="G21" s="62" t="inlineStr">
        <is>
          <t xml:space="preserve"> 20 ord Expediting(incl  7ord FD sub exp); Inspn: YIL(639-PP FAT))-30/5-9/6,26,Doc rev/IRN-30/6(7.5d);Schneider -PO 725-9,25-27/6(4d);Stardrive B/D- 19,20,doc rev/irn end 30/6 (2.5d);Paramount/C&amp;S-18&amp;23,doc rev-30/6(2.5d);611-Microfinish-11-13/6(3d);836-Hitachi-13-16 &amp;20/6 (3d);821-Kalpa-12/6(1d);Mtg. with YIL for resolving o/s Hold-ups in FAT &amp; procurement resply;Meeting/rev. of Cryo Test procedure &amp; expediting of o/s issues(1d);200h rel on 23/7/25[4528]</t>
        </is>
      </c>
      <c r="H21" s="62" t="n"/>
      <c r="I21" s="62" t="n"/>
      <c r="J21" s="110" t="inlineStr">
        <is>
          <t>Chandrashekhar/Sumanta Mondal/Ajay Gupta/Rajeev Kr Khandelwal/Prakash Jagarwal/Deepak Dinkar -GAIL Usar</t>
        </is>
      </c>
      <c r="K21" s="111" t="n"/>
      <c r="L21" s="111" t="n"/>
      <c r="M21" s="112" t="n"/>
      <c r="N21" s="3" t="n">
        <v>0</v>
      </c>
      <c r="O21" s="3" t="n"/>
      <c r="Q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16/6[4328];200h rel on 23/7/25[4528]</t>
        </is>
      </c>
    </row>
    <row r="22" ht="83.5" customHeight="1" s="125">
      <c r="A22" s="10" t="inlineStr">
        <is>
          <t>B414</t>
        </is>
      </c>
      <c r="B22" s="3" t="n">
        <v>4</v>
      </c>
      <c r="C22" s="3">
        <f>2*B22+1*4</f>
        <v/>
      </c>
      <c r="D22" s="3">
        <f>8*2.5</f>
        <v/>
      </c>
      <c r="E22" s="9" t="n">
        <v>0</v>
      </c>
      <c r="F22" s="3">
        <f>SUM(C22:E22)</f>
        <v/>
      </c>
      <c r="G22" s="62" t="inlineStr">
        <is>
          <t>4 orders ( incl. 3Running orders &amp; 1FD expediting); Insp: PO 62-HBL Batteries-11-12/6(2d);Pace process/Schneider  QAP appls.-18/6(0.5d);</t>
        </is>
      </c>
      <c r="H22" s="62" t="n"/>
      <c r="I22" s="62" t="n"/>
      <c r="J22" s="110" t="inlineStr">
        <is>
          <t>Himangshu Pal/ Shnaoli Nath</t>
        </is>
      </c>
      <c r="K22" s="111" t="n"/>
      <c r="L22" s="111" t="n"/>
      <c r="M22" s="112" t="n"/>
      <c r="N22" s="3" t="n"/>
      <c r="O22" s="3" t="n"/>
      <c r="Q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3" ht="83.5" customHeight="1" s="125">
      <c r="A23" s="10" t="inlineStr">
        <is>
          <t>B436</t>
        </is>
      </c>
      <c r="B23" s="3" t="n">
        <v>1</v>
      </c>
      <c r="C23" s="3" t="n">
        <v>2</v>
      </c>
      <c r="D23" s="3" t="n">
        <v>0</v>
      </c>
      <c r="E23" s="9" t="n">
        <v>0</v>
      </c>
      <c r="F23" s="3">
        <f>SUM(C23:E23)</f>
        <v/>
      </c>
      <c r="G23" s="62" t="inlineStr">
        <is>
          <t xml:space="preserve">SCADA order on ABB </t>
        </is>
      </c>
      <c r="H23" s="62" t="n"/>
      <c r="I23" s="62" t="n"/>
      <c r="J23" s="110" t="inlineStr">
        <is>
          <t>T Ravi/Sangram Mishra/NS Vasudev</t>
        </is>
      </c>
      <c r="K23" s="111" t="n"/>
      <c r="L23" s="111" t="n"/>
      <c r="M23" s="112" t="n"/>
      <c r="N23" s="3" t="n"/>
      <c r="O23" s="3" t="n"/>
      <c r="P23" t="inlineStr">
        <is>
          <t>10h rel on 22/5;26h rel on 12/10[38]</t>
        </is>
      </c>
    </row>
    <row r="24" ht="121.5" customHeight="1" s="125">
      <c r="A24" s="10" t="inlineStr">
        <is>
          <t>B440</t>
        </is>
      </c>
      <c r="B24" s="3" t="n">
        <v>15</v>
      </c>
      <c r="C24" s="3">
        <f>2*B24 + 1*4</f>
        <v/>
      </c>
      <c r="D24" s="3">
        <f>8*0.5</f>
        <v/>
      </c>
      <c r="E24" s="9" t="n">
        <v>0</v>
      </c>
      <c r="F24" s="3">
        <f>SUM(C24:E24)</f>
        <v/>
      </c>
      <c r="G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1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1OCS);Jun'25: 15ord(incl.2 ord FD sub);PO155(End of TPI IRN)-26/6(0.5d);30h rel on 24/7[290]</t>
        </is>
      </c>
      <c r="H24" s="62" t="n"/>
      <c r="I24" s="62" t="n"/>
      <c r="J24" s="110" t="inlineStr">
        <is>
          <t>Himangshu Pal/Sanjeev Kumar/Ayush Mathur/Shivaji/VVR Murthy</t>
        </is>
      </c>
      <c r="K24" s="111" t="n"/>
      <c r="L24" s="111" t="n"/>
      <c r="M24" s="112" t="n"/>
      <c r="N24" s="3" t="n"/>
      <c r="O24" s="3" t="n"/>
      <c r="P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5" ht="83.5" customHeight="1" s="125">
      <c r="A25" s="10" t="inlineStr">
        <is>
          <t>B448</t>
        </is>
      </c>
      <c r="B25" s="3" t="n">
        <v>1</v>
      </c>
      <c r="C25" s="3" t="n">
        <v>0</v>
      </c>
      <c r="D25" s="3" t="n">
        <v>0</v>
      </c>
      <c r="E25" s="9" t="n">
        <v>0</v>
      </c>
      <c r="F25" s="3">
        <f>SUM(C25:E25)</f>
        <v/>
      </c>
      <c r="G25" s="62" t="inlineStr">
        <is>
          <t xml:space="preserve"> Insp. &amp; exp. Of Direct ordered items; For LSTK, insp@ payment on manday item rate;resolution of queries on insp from bid till compln. Of pjt;expediting, if reqd. by Owner - </t>
        </is>
      </c>
      <c r="H25" s="62" t="n"/>
      <c r="I25" s="62" t="n"/>
      <c r="J25" s="110" t="inlineStr">
        <is>
          <t>Himangshu Pal/Sanjeev Kumar/UK Mishra/NS Vasudev</t>
        </is>
      </c>
      <c r="K25" s="111" t="n"/>
      <c r="L25" s="111" t="n"/>
      <c r="M25" s="112" t="n"/>
      <c r="N25" s="3" t="n"/>
      <c r="O25" s="3" t="n"/>
      <c r="Q25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6" ht="83.5" customHeight="1" s="125">
      <c r="A26" s="3" t="inlineStr">
        <is>
          <t>B519</t>
        </is>
      </c>
      <c r="B26" s="3" t="n">
        <v>3</v>
      </c>
      <c r="C26" s="3">
        <f>2*B26+1*4</f>
        <v/>
      </c>
      <c r="D26" s="3" t="n">
        <v>0</v>
      </c>
      <c r="E26" s="9" t="n">
        <v>0</v>
      </c>
      <c r="F26" s="3">
        <f>SUM(C26:E26)</f>
        <v/>
      </c>
      <c r="G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</t>
        </is>
      </c>
      <c r="H26" s="62" t="n"/>
      <c r="I26" s="62" t="n"/>
      <c r="J26" s="110" t="inlineStr">
        <is>
          <t>Chandrashekhar/HarshVardan/Prakash Jagarwal/DSNMurty</t>
        </is>
      </c>
      <c r="K26" s="111" t="n"/>
      <c r="L26" s="111" t="n"/>
      <c r="M26" s="112" t="n"/>
      <c r="N26" s="3" t="n"/>
      <c r="O26" s="3" t="n"/>
    </row>
    <row r="27" ht="83.5" customHeight="1" s="125">
      <c r="A27" s="10" t="inlineStr">
        <is>
          <t>B548</t>
        </is>
      </c>
      <c r="B27" s="3" t="n">
        <v>0</v>
      </c>
      <c r="C27" s="3" t="n">
        <v>0</v>
      </c>
      <c r="D27" s="3" t="n">
        <v>0</v>
      </c>
      <c r="E27" s="9" t="n">
        <v>0</v>
      </c>
      <c r="F27" s="3">
        <f>SUM(C27:E27)</f>
        <v/>
      </c>
      <c r="G27" s="62" t="inlineStr">
        <is>
          <t>Alleima- Exchanger - Exp+QAP comments - ITP R1- rev-6/2; Control Panel ITP rev- 7/2; FAT of TCP rev-12/2; Mtg/communications for resolution of issue w.r.t Heating Element MOC - 6,9/2; Nov: 1 OCS + Insp. - Emerson S/o on Microfinish - 27/11 &amp; 20/12</t>
        </is>
      </c>
      <c r="H27" s="62" t="n"/>
      <c r="I27" s="62" t="n"/>
      <c r="J27" s="110" t="inlineStr">
        <is>
          <t>HP/Sanjeev Kr/T Ravi/NS Vasudev/Sanjeev Kr Gupta</t>
        </is>
      </c>
      <c r="K27" s="111" t="n"/>
      <c r="L27" s="111" t="n"/>
      <c r="M27" s="112" t="n"/>
      <c r="N27" s="3" t="n"/>
      <c r="O27" s="3" t="n"/>
      <c r="P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10" t="inlineStr">
        <is>
          <t>B559</t>
        </is>
      </c>
      <c r="B28" s="3" t="n">
        <v>5</v>
      </c>
      <c r="C28" s="3">
        <f>2*B28</f>
        <v/>
      </c>
      <c r="D28" s="3" t="n">
        <v>0</v>
      </c>
      <c r="E28" s="9" t="n">
        <v>0</v>
      </c>
      <c r="F28" s="3">
        <f>SUM(C28:E28)</f>
        <v/>
      </c>
      <c r="G28" s="62" t="inlineStr">
        <is>
          <t>IOCL Biturox,Vad-Proj. Prof. uploaded on 20/3- Desk Expediting - NO OCS; 4 orders expediting</t>
        </is>
      </c>
      <c r="H28" s="62" t="n"/>
      <c r="I28" s="62" t="n"/>
      <c r="J28" s="110" t="inlineStr">
        <is>
          <t xml:space="preserve">Sanjay Choudhary/SK Gayen/RK Gupta </t>
        </is>
      </c>
      <c r="K28" s="111" t="n"/>
      <c r="L28" s="111" t="n"/>
      <c r="M28" s="112" t="n"/>
      <c r="N28" s="3" t="n"/>
      <c r="O28" s="3" t="n"/>
      <c r="P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29" ht="83.5" customHeight="1" s="125">
      <c r="A29" s="3" t="inlineStr">
        <is>
          <t>B560</t>
        </is>
      </c>
      <c r="B29" s="3" t="n">
        <v>13</v>
      </c>
      <c r="C29" s="3">
        <f>2*B29</f>
        <v/>
      </c>
      <c r="D29" s="3" t="n"/>
      <c r="E29" s="9" t="n">
        <v>0</v>
      </c>
      <c r="F29" s="3">
        <f>SUM(C29:E29)</f>
        <v/>
      </c>
      <c r="G29" s="62" t="inlineStr">
        <is>
          <t xml:space="preserve">Req.from ED(I) for expediting on 15/6/24 - 13 orders (incl.9FD exp &amp; 1 OCS) &amp; OCS also to be made as per latest reqt.; </t>
        </is>
      </c>
      <c r="H29" s="62" t="n"/>
      <c r="I29" s="62" t="n"/>
      <c r="J29" s="110" t="inlineStr">
        <is>
          <t>Chandrashekhar/Vinod Kumar/RK Medhavi</t>
        </is>
      </c>
      <c r="K29" s="111" t="n"/>
      <c r="L29" s="111" t="n"/>
      <c r="M29" s="112" t="n"/>
      <c r="N29" s="3" t="n"/>
      <c r="O29" s="3" t="n"/>
      <c r="P29" t="inlineStr">
        <is>
          <t>100h rel on 23/4</t>
        </is>
      </c>
    </row>
    <row r="30" ht="44" customHeight="1" s="125">
      <c r="A30" s="10" t="inlineStr">
        <is>
          <t>B589</t>
        </is>
      </c>
      <c r="B30" s="3" t="n">
        <v>0</v>
      </c>
      <c r="C30" s="3" t="n">
        <v>0</v>
      </c>
      <c r="D30" s="3" t="n">
        <v>0</v>
      </c>
      <c r="E30" s="9" t="n">
        <v>0</v>
      </c>
      <c r="F30" s="3" t="n">
        <v>0</v>
      </c>
      <c r="G30" s="62" t="n"/>
      <c r="H30" s="62" t="n"/>
      <c r="I30" s="62" t="n"/>
      <c r="J30" s="110" t="inlineStr">
        <is>
          <t>Himangshu Pal/Sanjeev Kr/T Ravi/NS Vasudev/Sanjeev Kr Gupta</t>
        </is>
      </c>
      <c r="K30" s="111" t="n"/>
      <c r="L30" s="111" t="n"/>
      <c r="M30" s="112" t="n"/>
      <c r="N30" s="3" t="n"/>
      <c r="O30" s="3" t="n"/>
      <c r="P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10" t="inlineStr">
        <is>
          <t>B650</t>
        </is>
      </c>
      <c r="B31" s="3" t="n">
        <v>2</v>
      </c>
      <c r="C31" s="3">
        <f>B31*2</f>
        <v/>
      </c>
      <c r="D31" s="3" t="n"/>
      <c r="E31" s="9" t="n"/>
      <c r="F31" s="3">
        <f>SUM(C31:E31)</f>
        <v/>
      </c>
      <c r="G31" s="62" t="inlineStr">
        <is>
          <t>No scope for RPO - however, OCS to be done</t>
        </is>
      </c>
      <c r="H31" s="62" t="n"/>
      <c r="I31" s="62" t="n"/>
      <c r="J31" s="110" t="inlineStr">
        <is>
          <t>Sanjay Choudhary/Siddant Kumar</t>
        </is>
      </c>
      <c r="K31" s="111" t="n"/>
      <c r="L31" s="111" t="n"/>
      <c r="M31" s="112" t="n"/>
      <c r="N31" s="3" t="n"/>
      <c r="O31" s="3" t="n"/>
    </row>
    <row r="32" ht="83.5" customHeight="1" s="125">
      <c r="A32" s="10" t="inlineStr">
        <is>
          <t>B653</t>
        </is>
      </c>
      <c r="B32" s="3" t="n">
        <v>13</v>
      </c>
      <c r="C32" s="3">
        <f>2*B32+1*4</f>
        <v/>
      </c>
      <c r="D32" s="3" t="n"/>
      <c r="E32" s="9" t="n">
        <v>8</v>
      </c>
      <c r="F32" s="3">
        <f>SUM(C32:E32)</f>
        <v/>
      </c>
      <c r="G32" s="62" t="inlineStr">
        <is>
          <t>Expediting by RPOs as per email dtd 22/10/24, OCS by RPO as per CS mail dt 17/1; (13 running ord+1OCS);Univ Insts -Rev. mtg &amp; Show Cause Notice issue reco. -8h;40h rel on 23/7[80]</t>
        </is>
      </c>
      <c r="H32" s="62" t="n"/>
      <c r="I32" s="62" t="n"/>
      <c r="J32" s="110" t="inlineStr">
        <is>
          <t>Sanjeev Kumar/Aasheesh Handa/Amandeep Kaur</t>
        </is>
      </c>
      <c r="K32" s="111" t="n"/>
      <c r="L32" s="111" t="n"/>
      <c r="M32" s="112" t="n"/>
      <c r="N32" s="3" t="n"/>
      <c r="O32" s="3" t="n"/>
      <c r="P32" t="inlineStr">
        <is>
          <t>40h rel on 9/4/24 [40];40h rel on 23/7[80]</t>
        </is>
      </c>
    </row>
    <row r="33" ht="83.5" customHeight="1" s="125">
      <c r="A33" s="3" t="inlineStr">
        <is>
          <t>B725</t>
        </is>
      </c>
      <c r="B33" s="3" t="n">
        <v>2</v>
      </c>
      <c r="C33" s="3" t="n"/>
      <c r="D33" s="3" t="n">
        <v>0</v>
      </c>
      <c r="E33" s="9" t="n">
        <v>0</v>
      </c>
      <c r="F33" s="3">
        <f>SUM(C33:E33)</f>
        <v/>
      </c>
      <c r="G33" s="62" t="inlineStr">
        <is>
          <t xml:space="preserve">No expediting; </t>
        </is>
      </c>
      <c r="H33" s="62" t="n"/>
      <c r="I33" s="62" t="n"/>
      <c r="J33" s="110" t="inlineStr">
        <is>
          <t>Himangshu/Sanjeev Kumar- Scope: Rev. of ITP,Insp Docs &amp; FD</t>
        </is>
      </c>
      <c r="K33" s="111" t="n"/>
      <c r="L33" s="111" t="n"/>
      <c r="M33" s="112" t="n"/>
      <c r="N33" s="3" t="n"/>
      <c r="O33" s="3" t="n"/>
      <c r="P33" t="inlineStr">
        <is>
          <t>4h sought by BT on 27/5 to Sanjeev Kr</t>
        </is>
      </c>
    </row>
    <row r="34" ht="83.5" customHeight="1" s="125">
      <c r="A34" s="3" t="inlineStr">
        <is>
          <t>B767</t>
        </is>
      </c>
      <c r="B34" s="3" t="n"/>
      <c r="C34" s="3" t="n"/>
      <c r="D34" s="3" t="n">
        <v>0</v>
      </c>
      <c r="E34" s="9" t="n">
        <v>0</v>
      </c>
      <c r="F34" s="3">
        <f>SUM(C34:E34)</f>
        <v/>
      </c>
      <c r="G34" s="62" t="inlineStr">
        <is>
          <t xml:space="preserve"> </t>
        </is>
      </c>
      <c r="H34" s="62" t="n"/>
      <c r="I34" s="62" t="n"/>
      <c r="J34" s="110" t="inlineStr">
        <is>
          <t>Himangshu Pal/Vikalp Paliwal/Balakumar</t>
        </is>
      </c>
      <c r="K34" s="111" t="n"/>
      <c r="L34" s="111" t="n"/>
      <c r="M34" s="112" t="n"/>
      <c r="N34" s="3" t="n"/>
      <c r="O34" s="3" t="n"/>
      <c r="P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3" t="inlineStr">
        <is>
          <t>B795</t>
        </is>
      </c>
      <c r="B35" s="3" t="n">
        <v>2</v>
      </c>
      <c r="C35" s="3" t="n"/>
      <c r="D35" s="3" t="n">
        <v>0</v>
      </c>
      <c r="E35" s="9" t="n"/>
      <c r="F35" s="3">
        <f>SUM(C35:E35)</f>
        <v/>
      </c>
      <c r="G35" s="62" t="inlineStr">
        <is>
          <t xml:space="preserve">QAP appl. &amp; Insp. in EIL scope </t>
        </is>
      </c>
      <c r="H35" s="62" t="n"/>
      <c r="I35" s="62" t="n"/>
      <c r="J35" s="110" t="inlineStr">
        <is>
          <t>G Suresh/Hemant Gadasia/Tarun Bansal/Dipak Panchal</t>
        </is>
      </c>
      <c r="K35" s="111" t="n"/>
      <c r="L35" s="111" t="n"/>
      <c r="M35" s="112" t="n"/>
      <c r="N35" s="3" t="n"/>
      <c r="O35" s="3" t="n"/>
      <c r="P35" t="inlineStr">
        <is>
          <t>32h rels. On 12/9;64h on 16/1; addl 100h rel on 20/1 [276]</t>
        </is>
      </c>
    </row>
    <row r="36" ht="83.5" customHeight="1" s="125">
      <c r="A36" s="3" t="inlineStr">
        <is>
          <t>B813</t>
        </is>
      </c>
      <c r="B36" s="3" t="n">
        <v>1</v>
      </c>
      <c r="C36" s="3">
        <f>2*B36</f>
        <v/>
      </c>
      <c r="D36" s="3" t="n"/>
      <c r="E36" s="9" t="n"/>
      <c r="F36" s="3">
        <f>SUM(C36:E36)</f>
        <v/>
      </c>
      <c r="G36" s="62" t="inlineStr">
        <is>
          <t>Expedite &amp; Inspect critical items (list provided in mail dt.29/5/25) EIL on man-day reimbursable basis - 1 order on KSBMIL</t>
        </is>
      </c>
      <c r="H36" s="62" t="n"/>
      <c r="I36" s="62" t="n"/>
      <c r="J36" s="110" t="inlineStr">
        <is>
          <t>Sanjeev Kumar/Raviraj/Shivaji</t>
        </is>
      </c>
      <c r="K36" s="111" t="n"/>
      <c r="L36" s="111" t="n"/>
      <c r="M36" s="112" t="inlineStr">
        <is>
          <t>NRL-Aqueous Ammonia Unit</t>
        </is>
      </c>
      <c r="N36" s="3" t="n"/>
      <c r="O36" s="3" t="n"/>
    </row>
    <row r="37" ht="83.5" customHeight="1" s="125">
      <c r="A37" s="3" t="inlineStr">
        <is>
          <t>B862</t>
        </is>
      </c>
      <c r="B37" s="3" t="n">
        <v>1</v>
      </c>
      <c r="C37" s="3">
        <f>B37*2</f>
        <v/>
      </c>
      <c r="D37" s="3" t="n"/>
      <c r="E37" s="9" t="n"/>
      <c r="F37" s="3">
        <f>SUM(C37:E37)</f>
        <v/>
      </c>
      <c r="G37" s="62" t="inlineStr">
        <is>
          <t>manhour for Level- 13 (Group-2), Level -15 &amp; 16 (Group-4) and Level-18 (Group-5) have far exceeded ceiling prescribed in the contract - &gt;Lvl 17-mh limited to 16%</t>
        </is>
      </c>
      <c r="H37" s="62" t="n"/>
      <c r="I37" s="62" t="n"/>
      <c r="J37" s="110" t="inlineStr">
        <is>
          <t>Himangshu Pal/Sanjeev Kumar/Rajeev Khandelwal IOM 10/7/24 from Mr Rajeev Khandelwal on level wise breakup of MH to be booked - to be followed while seeking MH.</t>
        </is>
      </c>
      <c r="K37" s="111" t="n"/>
      <c r="L37" s="111" t="n"/>
      <c r="M37" s="112" t="inlineStr">
        <is>
          <t>PLL</t>
        </is>
      </c>
      <c r="N37" s="3" t="n"/>
      <c r="O37" s="3" t="n"/>
      <c r="P37" t="inlineStr">
        <is>
          <t>200h rel in May'25</t>
        </is>
      </c>
    </row>
    <row r="38" ht="83.5" customHeight="1" s="125">
      <c r="A38" s="3" t="inlineStr">
        <is>
          <t>B865</t>
        </is>
      </c>
      <c r="B38" s="3" t="n">
        <v>1</v>
      </c>
      <c r="C38" s="3" t="n"/>
      <c r="D38" s="3" t="n"/>
      <c r="E38" s="9" t="n"/>
      <c r="F38" s="3" t="n"/>
      <c r="G38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H38" s="62" t="n"/>
      <c r="I38" s="62" t="n"/>
      <c r="J38" s="110" t="inlineStr">
        <is>
          <t>Avdesh Agrawal</t>
        </is>
      </c>
      <c r="K38" s="111" t="n"/>
      <c r="L38" s="111" t="n"/>
      <c r="M38" s="112" t="inlineStr">
        <is>
          <t>HPCL Petchem Mktg Terminal</t>
        </is>
      </c>
      <c r="N38" s="3" t="n"/>
      <c r="O38" s="3" t="n"/>
    </row>
    <row r="39" ht="83.5" customHeight="1" s="125">
      <c r="A39" s="3" t="inlineStr">
        <is>
          <t>B903</t>
        </is>
      </c>
      <c r="B39" s="3" t="n">
        <v>3</v>
      </c>
      <c r="C39" s="3">
        <f>2*B39</f>
        <v/>
      </c>
      <c r="D39" s="3" t="n"/>
      <c r="E39" s="9" t="n"/>
      <c r="F39" s="3">
        <f>SUM(C39:E39)</f>
        <v/>
      </c>
      <c r="G39" s="62" t="inlineStr">
        <is>
          <t>6mh rel on 25/7[16]</t>
        </is>
      </c>
      <c r="H39" s="62" t="n"/>
      <c r="I39" s="62" t="n"/>
      <c r="J39" s="110" t="inlineStr">
        <is>
          <t>Sanjeev Kumar/Shnaoli</t>
        </is>
      </c>
      <c r="K39" s="111" t="n"/>
      <c r="L39" s="111" t="n"/>
      <c r="M39" s="112" t="n"/>
      <c r="N39" s="3" t="n"/>
      <c r="O39" s="3" t="n"/>
    </row>
    <row r="40" ht="83.5" customHeight="1" s="125">
      <c r="A40" s="3" t="inlineStr">
        <is>
          <t>B904</t>
        </is>
      </c>
      <c r="B40" s="3" t="n">
        <v>1</v>
      </c>
      <c r="C40" s="3">
        <f>2*1</f>
        <v/>
      </c>
      <c r="D40" s="3" t="n"/>
      <c r="E40" s="9" t="n"/>
      <c r="F40" s="3">
        <f>SUM(C40:E40)</f>
        <v/>
      </c>
      <c r="G40" s="62" t="inlineStr">
        <is>
          <t>2mh rel on 25/7[6]</t>
        </is>
      </c>
      <c r="H40" s="62" t="n"/>
      <c r="I40" s="62" t="n"/>
      <c r="J40" s="110" t="inlineStr">
        <is>
          <t>Sanjeev Kumar/Shnaoli</t>
        </is>
      </c>
      <c r="K40" s="111" t="n"/>
      <c r="L40" s="111" t="n"/>
      <c r="M40" s="112" t="n"/>
      <c r="N40" s="3" t="n"/>
      <c r="O40" s="3" t="inlineStr">
        <is>
          <t>Proj. prof. n.avl.</t>
        </is>
      </c>
    </row>
    <row r="41" ht="83.5" customHeight="1" s="125">
      <c r="A41" s="3" t="inlineStr">
        <is>
          <t>C007</t>
        </is>
      </c>
      <c r="B41" s="3" t="n">
        <v>11</v>
      </c>
      <c r="C41" s="3" t="n"/>
      <c r="D41" s="3">
        <f>8*B41</f>
        <v/>
      </c>
      <c r="E41" s="9" t="n"/>
      <c r="F41" s="3">
        <f>SUM(C41:E41)</f>
        <v/>
      </c>
      <c r="G41" s="62" t="inlineStr">
        <is>
          <t>Suryaroshni deputation from 16/6 to 28/6-11d;88h rel on 23/7[88]</t>
        </is>
      </c>
      <c r="H41" s="62" t="n"/>
      <c r="I41" s="62" t="n"/>
      <c r="J41" s="110" t="inlineStr">
        <is>
          <t>Himangshu Pal/Hemant Gadasia</t>
        </is>
      </c>
      <c r="K41" s="111" t="n"/>
      <c r="L41" s="111" t="n"/>
      <c r="M41" s="112" t="n"/>
      <c r="N41" s="3" t="n"/>
      <c r="O41" s="3" t="n"/>
    </row>
    <row r="42" ht="46" customHeight="1" s="125">
      <c r="A42" s="3" t="inlineStr">
        <is>
          <t>Leave</t>
        </is>
      </c>
      <c r="B42" s="3" t="n">
        <v>2</v>
      </c>
      <c r="C42" s="3" t="n"/>
      <c r="D42" s="3" t="n"/>
      <c r="E42" s="9" t="inlineStr">
        <is>
          <t xml:space="preserve"> </t>
        </is>
      </c>
      <c r="F42" s="3">
        <f>8*B42</f>
        <v/>
      </c>
      <c r="G42" s="62" t="inlineStr">
        <is>
          <t>VR:1; AG:;SV-;US:  ;BT-16;NV</t>
        </is>
      </c>
      <c r="H42" s="62" t="n"/>
      <c r="I42" s="62" t="n"/>
      <c r="J42" s="110" t="inlineStr">
        <is>
          <t xml:space="preserve"> </t>
        </is>
      </c>
      <c r="K42" s="111" t="n"/>
      <c r="L42" s="111" t="n"/>
      <c r="M42" s="112" t="n"/>
      <c r="N42" s="3" t="n"/>
      <c r="O42" s="3">
        <f>F42-N42</f>
        <v/>
      </c>
      <c r="P42" t="n">
        <v>68</v>
      </c>
    </row>
    <row r="43" ht="45.5" customHeight="1" s="125">
      <c r="A43" s="3" t="inlineStr">
        <is>
          <t>Total</t>
        </is>
      </c>
      <c r="B43" s="3">
        <f>SUM(B10:B42)</f>
        <v/>
      </c>
      <c r="C43" s="3" t="n"/>
      <c r="D43" s="3" t="n"/>
      <c r="E43" s="9" t="n"/>
      <c r="F43" s="3">
        <f>SUM(F4:F42)</f>
        <v/>
      </c>
      <c r="G43" s="56" t="n"/>
      <c r="H43" s="56" t="n"/>
      <c r="I43" s="56" t="n"/>
      <c r="J43" s="110" t="n"/>
      <c r="K43" s="111" t="n"/>
      <c r="L43" s="111" t="n"/>
      <c r="M43" s="112" t="n"/>
      <c r="N43" s="3" t="n"/>
      <c r="O43" s="3">
        <f>F43-N43</f>
        <v/>
      </c>
      <c r="P43">
        <f>SUM(P10:P42)</f>
        <v/>
      </c>
      <c r="Q43">
        <f>672-P43</f>
        <v/>
      </c>
    </row>
    <row r="44" ht="83.5" customHeight="1" s="125">
      <c r="A44" s="3" t="n"/>
      <c r="B44" s="3" t="n"/>
      <c r="C44" s="3" t="n"/>
      <c r="D44" s="3" t="n"/>
      <c r="E44" s="9" t="n"/>
      <c r="F44" s="3" t="inlineStr">
        <is>
          <t xml:space="preserve"> </t>
        </is>
      </c>
      <c r="G44" s="56" t="n"/>
      <c r="H44" s="56" t="n"/>
      <c r="I44" s="56">
        <f>52*5*3- 36</f>
        <v/>
      </c>
      <c r="J44" s="110" t="n"/>
      <c r="K44" s="111" t="n"/>
      <c r="L44" s="111" t="n"/>
      <c r="M44" s="112" t="n"/>
      <c r="N44" s="3" t="n"/>
      <c r="O44" s="3" t="n"/>
    </row>
    <row r="45" ht="83.5" customHeight="1" s="125">
      <c r="A45" s="3" t="inlineStr">
        <is>
          <t>Notes:</t>
        </is>
      </c>
      <c r="B45" s="3" t="n"/>
      <c r="C45" s="3" t="n"/>
      <c r="D45" s="3" t="n"/>
      <c r="E45" s="9" t="n"/>
      <c r="F45" s="3" t="n"/>
      <c r="G45" s="56" t="n"/>
      <c r="H45" s="56" t="n"/>
      <c r="I45" s="56" t="n"/>
      <c r="J45" s="110" t="n"/>
      <c r="K45" s="111" t="inlineStr">
        <is>
          <t xml:space="preserve"> </t>
        </is>
      </c>
      <c r="L45" s="111" t="n"/>
      <c r="M45" s="112" t="n"/>
      <c r="N45" s="3" t="n"/>
      <c r="O45" s="3" t="n"/>
    </row>
    <row r="46" ht="83.5" customHeight="1" s="125">
      <c r="A46" s="3" t="inlineStr">
        <is>
          <t>1. If there are any other job nos., pl. include the same.</t>
        </is>
      </c>
      <c r="B46" s="3" t="n"/>
      <c r="C46" s="3" t="n"/>
      <c r="D46" s="3" t="n"/>
      <c r="E46" s="9" t="n"/>
      <c r="F46" s="3" t="n"/>
      <c r="G46" s="9" t="inlineStr">
        <is>
          <t xml:space="preserve"> </t>
        </is>
      </c>
      <c r="H46" s="111" t="n"/>
      <c r="I46" s="112" t="n"/>
      <c r="J46" s="6" t="inlineStr">
        <is>
          <t xml:space="preserve"> </t>
        </is>
      </c>
      <c r="K46" s="7" t="inlineStr">
        <is>
          <t xml:space="preserve"> </t>
        </is>
      </c>
      <c r="L46" s="7" t="n"/>
      <c r="M46" s="8" t="n"/>
      <c r="N46" s="3" t="n"/>
      <c r="O46" s="3" t="n"/>
    </row>
    <row r="47">
      <c r="A47" s="24" t="inlineStr">
        <is>
          <t xml:space="preserve">Guidelines : </t>
        </is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</row>
    <row r="48">
      <c r="A48" s="26" t="inlineStr">
        <is>
          <t>1. Inspection Visit including review and endorsement of final documents: At  actual</t>
        </is>
      </c>
      <c r="B48" s="26" t="n"/>
    </row>
    <row r="49">
      <c r="A49" s="26" t="inlineStr">
        <is>
          <t xml:space="preserve">2. Expediting and preparation of expediting report: Average 2 hours /month /order ( No separate man hours for coordination ) </t>
        </is>
      </c>
      <c r="Q49" t="inlineStr">
        <is>
          <t xml:space="preserve"> </t>
        </is>
      </c>
    </row>
    <row r="50">
      <c r="A50" s="26" t="inlineStr">
        <is>
          <t xml:space="preserve">3. Expediting visit/ Attending meeting with project/.Client: At  actual </t>
        </is>
      </c>
    </row>
    <row r="51">
      <c r="A51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2">
      <c r="A52" s="26" t="inlineStr">
        <is>
          <t xml:space="preserve">5. Review of ITP for Equipment (Mechanical and Electrical/DCS etc): Average 2 hours/order </t>
        </is>
      </c>
      <c r="M52" t="inlineStr">
        <is>
          <t xml:space="preserve"> </t>
        </is>
      </c>
    </row>
    <row r="53">
      <c r="A53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4">
      <c r="A54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5">
      <c r="A55" s="26" t="inlineStr">
        <is>
          <t xml:space="preserve">8. Order Closing report: Average 2 hours/Order  </t>
        </is>
      </c>
    </row>
    <row r="56">
      <c r="A56" s="27" t="n"/>
    </row>
    <row r="57">
      <c r="J57" t="inlineStr">
        <is>
          <t xml:space="preserve"> </t>
        </is>
      </c>
    </row>
  </sheetData>
  <mergeCells count="7">
    <mergeCell ref="G10:I10"/>
    <mergeCell ref="A2:I2"/>
    <mergeCell ref="G46:I46"/>
    <mergeCell ref="A1:I1"/>
    <mergeCell ref="G3:I3"/>
    <mergeCell ref="J2:M2"/>
    <mergeCell ref="G11:I11"/>
  </mergeCells>
  <pageMargins left="0.7" right="0.7" top="0.75" bottom="0.75" header="0.3" footer="0.3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 fitToPage="1"/>
  </sheetPr>
  <dimension ref="A1:Y54"/>
  <sheetViews>
    <sheetView workbookViewId="0">
      <selection activeCell="A3" sqref="A3:L3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45809</v>
      </c>
      <c r="M1" s="122" t="inlineStr">
        <is>
          <t xml:space="preserve">Total MH reqd: </t>
        </is>
      </c>
      <c r="O1" s="122">
        <f>ConsolidatedMHrequirementJun25!A2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25/07/25</t>
        </is>
      </c>
      <c r="L3" s="33" t="inlineStr">
        <is>
          <t>Shortfall</t>
        </is>
      </c>
    </row>
    <row r="4" hidden="1" ht="15" customHeight="1" s="125">
      <c r="A4" s="71" t="n">
        <v>4994</v>
      </c>
      <c r="B4" s="3">
        <f>ConsolidatedMHrequirementJun25!B4</f>
        <v/>
      </c>
      <c r="C4" s="3" t="n"/>
      <c r="D4" s="3" t="n"/>
      <c r="E4" s="3" t="n"/>
      <c r="F4" s="66" t="n"/>
      <c r="G4" s="3">
        <f>ConsolidatedMHrequirementJun25!D4</f>
        <v/>
      </c>
      <c r="H4" s="3">
        <f>ConsolidatedMHrequirementJun25!C4</f>
        <v/>
      </c>
      <c r="I4" s="3">
        <f>ConsolidatedMHrequirementJun25!E4</f>
        <v/>
      </c>
      <c r="J4" s="41">
        <f>VLOOKUP(A4,ConsolidatedMHrequirementJun25!$A$4:$I$42,6,FALSE)</f>
        <v/>
      </c>
      <c r="K4" s="3" t="n">
        <v>16</v>
      </c>
      <c r="L4" s="3">
        <f>J4-K4</f>
        <v/>
      </c>
      <c r="M4" s="69">
        <f>ConsolidatedMHrequirementJun25!G4</f>
        <v/>
      </c>
    </row>
    <row r="5" hidden="1" s="125">
      <c r="A5" s="71" t="n">
        <v>6979</v>
      </c>
      <c r="B5" s="3">
        <f>ConsolidatedMHrequirementJun25!B5</f>
        <v/>
      </c>
      <c r="C5" s="3" t="n"/>
      <c r="D5" s="3" t="n"/>
      <c r="E5" s="3" t="n"/>
      <c r="F5" s="3" t="n"/>
      <c r="G5" s="3">
        <f>ConsolidatedMHrequirementJun25!D5</f>
        <v/>
      </c>
      <c r="H5" s="3">
        <f>ConsolidatedMHrequirementJun25!C5</f>
        <v/>
      </c>
      <c r="I5" s="3">
        <f>ConsolidatedMHrequirementJun25!E5</f>
        <v/>
      </c>
      <c r="J5" s="41">
        <f>VLOOKUP(A5,ConsolidatedMHrequirementJun25!$A$4:$I$42,6,FALSE)</f>
        <v/>
      </c>
      <c r="K5" s="3" t="n"/>
      <c r="L5" s="3">
        <f>J5-K5</f>
        <v/>
      </c>
      <c r="M5" s="69">
        <f>ConsolidatedMHrequirementJun25!G5</f>
        <v/>
      </c>
      <c r="N5" s="69" t="n"/>
      <c r="O5" s="69" t="n"/>
      <c r="P5" s="69" t="n"/>
      <c r="Q5" s="69" t="n"/>
      <c r="R5" s="69" t="n"/>
      <c r="S5" s="69" t="n"/>
      <c r="T5" s="69" t="n"/>
    </row>
    <row r="6" hidden="1" ht="14.5" customFormat="1" customHeight="1" s="34">
      <c r="A6" s="71" t="n">
        <v>7716</v>
      </c>
      <c r="B6" s="3">
        <f>ConsolidatedMHrequirementJun25!B6</f>
        <v/>
      </c>
      <c r="C6" s="3" t="n"/>
      <c r="D6" s="3" t="n"/>
      <c r="E6" s="3" t="n"/>
      <c r="F6" s="66" t="n"/>
      <c r="G6" s="3">
        <f>ConsolidatedMHrequirementJun25!D6</f>
        <v/>
      </c>
      <c r="H6" s="3">
        <f>ConsolidatedMHrequirementJun25!C6</f>
        <v/>
      </c>
      <c r="I6" s="3">
        <f>ConsolidatedMHrequirementJun25!E6</f>
        <v/>
      </c>
      <c r="J6" s="41">
        <f>VLOOKUP(A6,ConsolidatedMHrequirementJun25!$A$4:$I$42,6,FALSE)</f>
        <v/>
      </c>
      <c r="K6" s="44" t="n"/>
      <c r="L6" s="3">
        <f>J6-K6</f>
        <v/>
      </c>
      <c r="M6" s="69">
        <f>ConsolidatedMHrequirementJun25!G6</f>
        <v/>
      </c>
      <c r="N6" s="69" t="n"/>
      <c r="O6" s="69" t="n"/>
      <c r="P6" s="69" t="n"/>
      <c r="Q6" s="69" t="n"/>
      <c r="R6" s="69" t="n"/>
      <c r="S6" s="69" t="n"/>
      <c r="T6" s="69" t="n"/>
    </row>
    <row r="7" hidden="1" ht="14.5" customFormat="1" customHeight="1" s="34">
      <c r="A7" s="71" t="n">
        <v>8518</v>
      </c>
      <c r="B7" s="3">
        <f>ConsolidatedMHrequirementJun25!B7</f>
        <v/>
      </c>
      <c r="C7" s="3" t="n"/>
      <c r="D7" s="3" t="n"/>
      <c r="E7" s="3" t="n"/>
      <c r="F7" s="66" t="n"/>
      <c r="G7" s="3">
        <f>ConsolidatedMHrequirementJun25!D7</f>
        <v/>
      </c>
      <c r="H7" s="3">
        <f>ConsolidatedMHrequirementJun25!C7</f>
        <v/>
      </c>
      <c r="I7" s="3">
        <f>ConsolidatedMHrequirementJun25!E7</f>
        <v/>
      </c>
      <c r="J7" s="41">
        <f>VLOOKUP(A7,ConsolidatedMHrequirementJun25!$A$4:$I$42,6,FALSE)</f>
        <v/>
      </c>
      <c r="K7" s="44" t="n">
        <v>600</v>
      </c>
      <c r="L7" s="3">
        <f>J7-K7</f>
        <v/>
      </c>
      <c r="M7" s="69">
        <f>ConsolidatedMHrequirementJun25!G7</f>
        <v/>
      </c>
      <c r="N7" s="69" t="n"/>
      <c r="O7" s="69" t="n"/>
      <c r="P7" s="69" t="n"/>
      <c r="Q7" s="69" t="n"/>
      <c r="R7" s="69" t="n"/>
      <c r="S7" s="69" t="n"/>
      <c r="T7" s="69" t="n"/>
    </row>
    <row r="8" hidden="1" ht="14.5" customFormat="1" customHeight="1" s="34">
      <c r="A8" s="71" t="n">
        <v>8590</v>
      </c>
      <c r="B8" s="3">
        <f>ConsolidatedMHrequirementJun25!B8</f>
        <v/>
      </c>
      <c r="C8" s="3" t="n"/>
      <c r="D8" s="3" t="n"/>
      <c r="E8" s="3" t="n"/>
      <c r="F8" s="66" t="n"/>
      <c r="G8" s="3">
        <f>ConsolidatedMHrequirementJun25!D8</f>
        <v/>
      </c>
      <c r="H8" s="3">
        <f>ConsolidatedMHrequirementJun25!C8</f>
        <v/>
      </c>
      <c r="I8" s="3">
        <f>ConsolidatedMHrequirementJun25!E8</f>
        <v/>
      </c>
      <c r="J8" s="41">
        <f>VLOOKUP(A8,ConsolidatedMHrequirementJun25!$A$4:$I$42,6,FALSE)</f>
        <v/>
      </c>
      <c r="K8" s="44" t="n"/>
      <c r="L8" s="3">
        <f>J8-K8</f>
        <v/>
      </c>
      <c r="M8" s="69">
        <f>ConsolidatedMHrequirementJun25!G8</f>
        <v/>
      </c>
      <c r="N8" s="69" t="n"/>
      <c r="O8" s="69" t="n"/>
      <c r="P8" s="69" t="n"/>
      <c r="Q8" s="69" t="n"/>
      <c r="R8" s="69" t="n"/>
      <c r="S8" s="69" t="n"/>
      <c r="T8" s="69" t="n"/>
    </row>
    <row r="9" hidden="1" customFormat="1" s="34">
      <c r="A9" s="10" t="inlineStr">
        <is>
          <t>B016</t>
        </is>
      </c>
      <c r="B9" s="3">
        <f>ConsolidatedMHrequirementJun25!B9</f>
        <v/>
      </c>
      <c r="C9" s="41" t="n"/>
      <c r="D9" s="41" t="n"/>
      <c r="E9" s="41" t="n"/>
      <c r="F9" s="54" t="n"/>
      <c r="G9" s="3">
        <f>ConsolidatedMHrequirementJun25!D9</f>
        <v/>
      </c>
      <c r="H9" s="3">
        <f>ConsolidatedMHrequirementJun25!C9</f>
        <v/>
      </c>
      <c r="I9" s="3">
        <f>ConsolidatedMHrequirementJun25!E9</f>
        <v/>
      </c>
      <c r="J9" s="41">
        <f>VLOOKUP(A9,ConsolidatedMHrequirementJun25!$A$4:$I$42,6,FALSE)</f>
        <v/>
      </c>
      <c r="K9" s="44" t="n"/>
      <c r="L9" s="3">
        <f>J9-K9</f>
        <v/>
      </c>
      <c r="M9" s="69">
        <f>ConsolidatedMHrequirementJun25!G9</f>
        <v/>
      </c>
      <c r="N9" s="69" t="n"/>
      <c r="O9" s="69" t="n"/>
      <c r="P9" s="69" t="n"/>
      <c r="Q9" s="69" t="n"/>
      <c r="R9" s="69" t="n"/>
      <c r="S9" s="69" t="n"/>
      <c r="T9" s="69" t="n"/>
    </row>
    <row r="10" hidden="1" ht="15" customFormat="1" customHeight="1" s="34">
      <c r="A10" s="10" t="inlineStr">
        <is>
          <t>B035</t>
        </is>
      </c>
      <c r="B10" s="3">
        <f>ConsolidatedMHrequirementJun25!B10</f>
        <v/>
      </c>
      <c r="C10" s="41" t="n"/>
      <c r="D10" s="41" t="n"/>
      <c r="E10" s="41" t="n"/>
      <c r="F10" s="54" t="n"/>
      <c r="G10" s="3">
        <f>ConsolidatedMHrequirementJun25!D10</f>
        <v/>
      </c>
      <c r="H10" s="3">
        <f>ConsolidatedMHrequirementJun25!C10</f>
        <v/>
      </c>
      <c r="I10" s="3">
        <f>ConsolidatedMHrequirementJun25!E10</f>
        <v/>
      </c>
      <c r="J10" s="41">
        <f>VLOOKUP(A10,ConsolidatedMHrequirementJun25!$A$4:$I$42,6,FALSE)</f>
        <v/>
      </c>
      <c r="K10" s="41" t="n"/>
      <c r="L10" s="3">
        <f>J10-K10</f>
        <v/>
      </c>
      <c r="M10" s="69">
        <f>ConsolidatedMHrequirementJun25!G10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idden="1" ht="16.5" customFormat="1" customHeight="1" s="34">
      <c r="A11" s="10" t="inlineStr">
        <is>
          <t>B038</t>
        </is>
      </c>
      <c r="B11" s="3">
        <f>ConsolidatedMHrequirementJun25!B11</f>
        <v/>
      </c>
      <c r="C11" s="41" t="n"/>
      <c r="D11" s="41" t="n"/>
      <c r="E11" s="41" t="n"/>
      <c r="F11" s="41" t="n">
        <v>1</v>
      </c>
      <c r="G11" s="3">
        <f>ConsolidatedMHrequirementJun25!D11</f>
        <v/>
      </c>
      <c r="H11" s="3">
        <f>ConsolidatedMHrequirementJun25!C11</f>
        <v/>
      </c>
      <c r="I11" s="3">
        <f>ConsolidatedMHrequirementJun25!E11</f>
        <v/>
      </c>
      <c r="J11" s="41">
        <f>VLOOKUP(A11,ConsolidatedMHrequirementJun25!$A$4:$I$42,6,FALSE)</f>
        <v/>
      </c>
      <c r="K11" s="41" t="n"/>
      <c r="L11" s="3">
        <f>J11-K11</f>
        <v/>
      </c>
      <c r="M11" s="69" t="inlineStr">
        <is>
          <t>1order OCS</t>
        </is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>pending mh to be filled:</t>
        </is>
      </c>
      <c r="X11" s="34" t="inlineStr">
        <is>
          <t>MH avl</t>
        </is>
      </c>
    </row>
    <row r="12" hidden="1" customFormat="1" s="34">
      <c r="A12" s="10" t="inlineStr">
        <is>
          <t>B058</t>
        </is>
      </c>
      <c r="B12" s="3">
        <f>ConsolidatedMHrequirementJun25!B12</f>
        <v/>
      </c>
      <c r="C12" s="41" t="n"/>
      <c r="D12" s="41" t="n"/>
      <c r="E12" s="41" t="n"/>
      <c r="F12" s="54" t="n"/>
      <c r="G12" s="3">
        <f>ConsolidatedMHrequirementJun25!D12</f>
        <v/>
      </c>
      <c r="H12" s="3">
        <f>ConsolidatedMHrequirementJun25!C12</f>
        <v/>
      </c>
      <c r="I12" s="3">
        <f>ConsolidatedMHrequirementJun25!E12</f>
        <v/>
      </c>
      <c r="J12" s="41">
        <f>VLOOKUP(A12,ConsolidatedMHrequirementJun25!$A$4:$I$42,6,FALSE)</f>
        <v/>
      </c>
      <c r="K12" s="41" t="n"/>
      <c r="L12" s="3">
        <f>J12-K12</f>
        <v/>
      </c>
      <c r="M12" s="69">
        <f>ConsolidatedMHrequirementJun25!G12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ConsolidatedMHrequirementJun25!B13</f>
        <v/>
      </c>
      <c r="C13" s="3" t="n"/>
      <c r="D13" s="3" t="n"/>
      <c r="E13" s="3" t="n"/>
      <c r="F13" s="66" t="n"/>
      <c r="G13" s="3">
        <f>ConsolidatedMHrequirementJun25!D13</f>
        <v/>
      </c>
      <c r="H13" s="3">
        <f>ConsolidatedMHrequirementJun25!C13</f>
        <v/>
      </c>
      <c r="I13" s="3">
        <f>ConsolidatedMHrequirementJun25!E13</f>
        <v/>
      </c>
      <c r="J13" s="41">
        <f>VLOOKUP(A13,ConsolidatedMHrequirementJun25!$A$4:$I$42,6,FALSE)</f>
        <v/>
      </c>
      <c r="K13" s="44" t="n">
        <v>150</v>
      </c>
      <c r="L13" s="3">
        <f>J13-K13</f>
        <v/>
      </c>
      <c r="M13" s="69">
        <f>ConsolidatedMHrequirementJun25!G13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hidden="1" customFormat="1" s="34">
      <c r="A14" s="10" t="inlineStr">
        <is>
          <t>B229</t>
        </is>
      </c>
      <c r="B14" s="3">
        <f>ConsolidatedMHrequirementJun25!B14</f>
        <v/>
      </c>
      <c r="C14" s="41" t="n"/>
      <c r="D14" s="41" t="n"/>
      <c r="E14" s="41" t="n"/>
      <c r="F14" s="54" t="n"/>
      <c r="G14" s="3">
        <f>ConsolidatedMHrequirementJun25!D14</f>
        <v/>
      </c>
      <c r="H14" s="3">
        <f>ConsolidatedMHrequirementJun25!C14</f>
        <v/>
      </c>
      <c r="I14" s="3">
        <f>ConsolidatedMHrequirementJun25!E14</f>
        <v/>
      </c>
      <c r="J14" s="41">
        <f>VLOOKUP(A14,ConsolidatedMHrequirementJun25!$A$4:$I$42,6,FALSE)</f>
        <v/>
      </c>
      <c r="K14" s="41" t="n"/>
      <c r="L14" s="3">
        <f>J14-K14</f>
        <v/>
      </c>
      <c r="M14" s="69">
        <f>ConsolidatedMHrequirementJun25!G14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ConsolidatedMHrequirementJun25!B15</f>
        <v/>
      </c>
      <c r="C15" s="3" t="n"/>
      <c r="D15" s="3" t="n"/>
      <c r="E15" s="3" t="n"/>
      <c r="F15" s="66" t="n"/>
      <c r="G15" s="3">
        <f>ConsolidatedMHrequirementJun25!D15</f>
        <v/>
      </c>
      <c r="H15" s="3">
        <f>ConsolidatedMHrequirementJun25!C15</f>
        <v/>
      </c>
      <c r="I15" s="3">
        <f>ConsolidatedMHrequirementJun25!E15</f>
        <v/>
      </c>
      <c r="J15" s="41">
        <f>VLOOKUP(A15,ConsolidatedMHrequirementJun25!$A$4:$I$42,6,FALSE)</f>
        <v/>
      </c>
      <c r="K15" s="41" t="n">
        <v>80</v>
      </c>
      <c r="L15" s="3">
        <f>J15-K15</f>
        <v/>
      </c>
      <c r="M15" s="69">
        <f>ConsolidatedMHrequirementJun25!G15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hidden="1" customFormat="1" s="34">
      <c r="A16" s="10" t="inlineStr">
        <is>
          <t>B285</t>
        </is>
      </c>
      <c r="B16" s="3">
        <f>ConsolidatedMHrequirementJun25!B16</f>
        <v/>
      </c>
      <c r="C16" s="41" t="n"/>
      <c r="D16" s="41" t="n"/>
      <c r="E16" s="41" t="n"/>
      <c r="F16" s="44" t="n"/>
      <c r="G16" s="3">
        <f>ConsolidatedMHrequirementJun25!D16</f>
        <v/>
      </c>
      <c r="H16" s="3">
        <f>ConsolidatedMHrequirementJun25!C16</f>
        <v/>
      </c>
      <c r="I16" s="3">
        <f>ConsolidatedMHrequirementJun25!E16</f>
        <v/>
      </c>
      <c r="J16" s="41">
        <f>VLOOKUP(A16,ConsolidatedMHrequirementJun25!$A$4:$I$42,6,FALSE)</f>
        <v/>
      </c>
      <c r="K16" s="41" t="n"/>
      <c r="L16" s="3">
        <f>J16-K16</f>
        <v/>
      </c>
      <c r="M16" s="69">
        <f>ConsolidatedMHrequirementJun25!G16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ConsolidatedMHrequirementJun25!B17</f>
        <v/>
      </c>
      <c r="C17" s="41" t="n"/>
      <c r="D17" s="41" t="n"/>
      <c r="E17" s="41" t="n"/>
      <c r="F17" s="54" t="n"/>
      <c r="G17" s="3">
        <f>ConsolidatedMHrequirementJun25!D17</f>
        <v/>
      </c>
      <c r="H17" s="3">
        <f>ConsolidatedMHrequirementJun25!C17</f>
        <v/>
      </c>
      <c r="I17" s="3">
        <f>ConsolidatedMHrequirementJun25!E17</f>
        <v/>
      </c>
      <c r="J17" s="41">
        <f>VLOOKUP(A17,ConsolidatedMHrequirementJun25!$A$4:$I$42,6,FALSE)</f>
        <v/>
      </c>
      <c r="K17" s="41" t="n"/>
      <c r="L17" s="3">
        <f>J17-K17</f>
        <v/>
      </c>
      <c r="M17" s="69">
        <f>ConsolidatedMHrequirementJun25!G17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ConsolidatedMHrequirementJun25!B18</f>
        <v/>
      </c>
      <c r="C18" s="41" t="n"/>
      <c r="D18" s="41" t="n"/>
      <c r="E18" s="41" t="n"/>
      <c r="F18" s="54" t="n"/>
      <c r="G18" s="3">
        <f>ConsolidatedMHrequirementJun25!D18</f>
        <v/>
      </c>
      <c r="H18" s="3">
        <f>ConsolidatedMHrequirementJun25!C18</f>
        <v/>
      </c>
      <c r="I18" s="3">
        <f>ConsolidatedMHrequirementJun25!E18</f>
        <v/>
      </c>
      <c r="J18" s="41">
        <f>VLOOKUP(A18,ConsolidatedMHrequirementJun25!$A$4:$I$42,6,FALSE)</f>
        <v/>
      </c>
      <c r="K18" s="41" t="n">
        <v>32</v>
      </c>
      <c r="L18" s="3">
        <f>J18-K18</f>
        <v/>
      </c>
      <c r="M18" s="69">
        <f>ConsolidatedMHrequirementJun25!G18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idden="1" ht="15" customFormat="1" customHeight="1" s="34">
      <c r="A19" s="10" t="inlineStr">
        <is>
          <t>B348</t>
        </is>
      </c>
      <c r="B19" s="3">
        <f>ConsolidatedMHrequirementJun25!B19</f>
        <v/>
      </c>
      <c r="C19" s="41" t="n"/>
      <c r="D19" s="41" t="n"/>
      <c r="E19" s="41" t="n"/>
      <c r="F19" s="54" t="n"/>
      <c r="G19" s="3">
        <f>ConsolidatedMHrequirementJun25!D19</f>
        <v/>
      </c>
      <c r="H19" s="3">
        <f>ConsolidatedMHrequirementJun25!C19</f>
        <v/>
      </c>
      <c r="I19" s="3">
        <f>ConsolidatedMHrequirementJun25!E19</f>
        <v/>
      </c>
      <c r="J19" s="41">
        <f>VLOOKUP(A19,ConsolidatedMHrequirementJun25!$A$4:$I$42,6,FALSE)</f>
        <v/>
      </c>
      <c r="K19" s="41" t="n">
        <v>10</v>
      </c>
      <c r="L19" s="3">
        <f>J19-K19</f>
        <v/>
      </c>
      <c r="M19" s="69">
        <f>ConsolidatedMHrequirementJun25!G19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idden="1" ht="15.5" customFormat="1" customHeight="1" s="34">
      <c r="A20" s="10" t="inlineStr">
        <is>
          <t>B359</t>
        </is>
      </c>
      <c r="B20" s="3">
        <f>ConsolidatedMHrequirementJun25!B20</f>
        <v/>
      </c>
      <c r="C20" s="41" t="n"/>
      <c r="D20" s="41" t="n"/>
      <c r="E20" s="41" t="n"/>
      <c r="F20" s="41" t="n"/>
      <c r="G20" s="3">
        <f>ConsolidatedMHrequirementJun25!D20</f>
        <v/>
      </c>
      <c r="H20" s="3">
        <f>ConsolidatedMHrequirementJun25!C20</f>
        <v/>
      </c>
      <c r="I20" s="3">
        <f>ConsolidatedMHrequirementJun25!E20</f>
        <v/>
      </c>
      <c r="J20" s="41">
        <f>VLOOKUP(A20,ConsolidatedMHrequirementJun25!$A$4:$I$42,6,FALSE)</f>
        <v/>
      </c>
      <c r="K20" s="41" t="n"/>
      <c r="L20" s="3">
        <f>J20-K20</f>
        <v/>
      </c>
      <c r="M20" s="69">
        <f>ConsolidatedMHrequirementJun25!G20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idden="1" ht="15" customFormat="1" customHeight="1" s="34">
      <c r="A21" s="10" t="inlineStr">
        <is>
          <t>B378</t>
        </is>
      </c>
      <c r="B21" s="3">
        <f>ConsolidatedMHrequirementJun25!B21</f>
        <v/>
      </c>
      <c r="C21" s="41" t="n"/>
      <c r="D21" s="41" t="n"/>
      <c r="E21" s="41" t="n"/>
      <c r="F21" s="44" t="n"/>
      <c r="G21" s="3">
        <f>ConsolidatedMHrequirementJun25!D21</f>
        <v/>
      </c>
      <c r="H21" s="3">
        <f>ConsolidatedMHrequirementJun25!C21</f>
        <v/>
      </c>
      <c r="I21" s="3">
        <f>ConsolidatedMHrequirementJun25!E21</f>
        <v/>
      </c>
      <c r="J21" s="41">
        <f>VLOOKUP(A21,ConsolidatedMHrequirementJun25!$A$4:$I$42,6,FALSE)</f>
        <v/>
      </c>
      <c r="K21" s="44" t="n">
        <v>200</v>
      </c>
      <c r="L21" s="3">
        <f>J21-K21</f>
        <v/>
      </c>
      <c r="M21" s="69">
        <f>ConsolidatedMHrequirementJun25!G21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B414</t>
        </is>
      </c>
      <c r="B22" s="3">
        <f>ConsolidatedMHrequirementJun25!B22</f>
        <v/>
      </c>
      <c r="C22" s="41" t="n"/>
      <c r="D22" s="41" t="n"/>
      <c r="E22" s="41" t="n"/>
      <c r="F22" s="41" t="n"/>
      <c r="G22" s="3">
        <f>ConsolidatedMHrequirementJun25!D22</f>
        <v/>
      </c>
      <c r="H22" s="3">
        <f>ConsolidatedMHrequirementJun25!C22</f>
        <v/>
      </c>
      <c r="I22" s="3">
        <f>ConsolidatedMHrequirementJun25!E22</f>
        <v/>
      </c>
      <c r="J22" s="41">
        <f>VLOOKUP(A22,ConsolidatedMHrequirementJun25!$A$4:$I$42,6,FALSE)</f>
        <v/>
      </c>
      <c r="K22" s="41" t="n"/>
      <c r="L22" s="3">
        <f>J22-K22</f>
        <v/>
      </c>
      <c r="M22" s="69">
        <f>ConsolidatedMHrequirementJun25!G22</f>
        <v/>
      </c>
      <c r="N22" s="69" t="n"/>
      <c r="O22" s="69" t="n"/>
      <c r="P22" s="69" t="n"/>
      <c r="Q22" s="69" t="n"/>
      <c r="R22" s="69" t="n"/>
      <c r="S22" s="69" t="n"/>
      <c r="T22" s="69" t="n"/>
      <c r="V22" s="48" t="n"/>
      <c r="W22" s="48" t="n"/>
      <c r="X22" s="48" t="n"/>
      <c r="Y22" s="48" t="n"/>
    </row>
    <row r="23" hidden="1" ht="15" customFormat="1" customHeight="1" s="34">
      <c r="A23" s="10" t="inlineStr">
        <is>
          <t>B436</t>
        </is>
      </c>
      <c r="B23" s="3">
        <f>ConsolidatedMHrequirementJun25!B23</f>
        <v/>
      </c>
      <c r="C23" s="41" t="n"/>
      <c r="D23" s="41" t="n"/>
      <c r="E23" s="41" t="n"/>
      <c r="F23" s="41" t="n"/>
      <c r="G23" s="3">
        <f>ConsolidatedMHrequirementJun25!D23</f>
        <v/>
      </c>
      <c r="H23" s="3">
        <f>ConsolidatedMHrequirementJun25!C23</f>
        <v/>
      </c>
      <c r="I23" s="3">
        <f>ConsolidatedMHrequirementJun25!E23</f>
        <v/>
      </c>
      <c r="J23" s="41">
        <f>VLOOKUP(A23,ConsolidatedMHrequirementJun25!$A$4:$I$42,6,FALSE)</f>
        <v/>
      </c>
      <c r="K23" s="41" t="n"/>
      <c r="L23" s="3">
        <f>J23-K23</f>
        <v/>
      </c>
      <c r="M23" s="69">
        <f>ConsolidatedMHrequirementJun25!G23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idden="1" ht="15" customFormat="1" customHeight="1" s="34">
      <c r="A24" s="10" t="inlineStr">
        <is>
          <t>B440</t>
        </is>
      </c>
      <c r="B24" s="3">
        <f>ConsolidatedMHrequirementJun25!B24</f>
        <v/>
      </c>
      <c r="C24" s="41" t="n"/>
      <c r="D24" s="41" t="n"/>
      <c r="E24" s="41" t="n"/>
      <c r="F24" s="41" t="n"/>
      <c r="G24" s="3">
        <f>ConsolidatedMHrequirementJun25!D24</f>
        <v/>
      </c>
      <c r="H24" s="3">
        <f>ConsolidatedMHrequirementJun25!C24</f>
        <v/>
      </c>
      <c r="I24" s="3">
        <f>ConsolidatedMHrequirementJun25!E24</f>
        <v/>
      </c>
      <c r="J24" s="41">
        <f>VLOOKUP(A24,ConsolidatedMHrequirementJun25!$A$4:$I$42,6,FALSE)</f>
        <v/>
      </c>
      <c r="K24" s="41" t="n">
        <v>0</v>
      </c>
      <c r="L24" s="3">
        <f>J24-K24</f>
        <v/>
      </c>
      <c r="M24" s="69">
        <f>ConsolidatedMHrequirementJun25!G24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idden="1" ht="15" customFormat="1" customHeight="1" s="34">
      <c r="A25" s="10" t="inlineStr">
        <is>
          <t>B448</t>
        </is>
      </c>
      <c r="B25" s="3">
        <f>ConsolidatedMHrequirementJun25!B25</f>
        <v/>
      </c>
      <c r="C25" s="41" t="n"/>
      <c r="D25" s="41" t="n"/>
      <c r="E25" s="41" t="n"/>
      <c r="F25" s="44" t="n"/>
      <c r="G25" s="3">
        <f>ConsolidatedMHrequirementJun25!D25</f>
        <v/>
      </c>
      <c r="H25" s="3">
        <f>ConsolidatedMHrequirementJun25!C25</f>
        <v/>
      </c>
      <c r="I25" s="3">
        <f>ConsolidatedMHrequirementJun25!E25</f>
        <v/>
      </c>
      <c r="J25" s="41">
        <f>VLOOKUP(A25,ConsolidatedMHrequirementJun25!$A$4:$I$42,6,FALSE)</f>
        <v/>
      </c>
      <c r="K25" s="41" t="n"/>
      <c r="L25" s="3">
        <f>J25-K25</f>
        <v/>
      </c>
      <c r="M25" s="69">
        <f>ConsolidatedMHrequirementJun25!G25</f>
        <v/>
      </c>
      <c r="N25" s="69" t="n"/>
      <c r="O25" s="69" t="n"/>
      <c r="P25" s="69" t="n"/>
      <c r="Q25" s="69" t="n"/>
      <c r="R25" s="69" t="n"/>
      <c r="S25" s="69" t="n"/>
      <c r="T25" s="69" t="n"/>
      <c r="V25" s="34" t="inlineStr">
        <is>
          <t xml:space="preserve"> </t>
        </is>
      </c>
      <c r="W25" s="34" t="inlineStr">
        <is>
          <t xml:space="preserve"> </t>
        </is>
      </c>
      <c r="X25" s="34" t="inlineStr">
        <is>
          <t xml:space="preserve"> </t>
        </is>
      </c>
      <c r="Y25" s="34" t="inlineStr">
        <is>
          <t xml:space="preserve"> </t>
        </is>
      </c>
    </row>
    <row r="26" hidden="1" ht="15" customFormat="1" customHeight="1" s="34">
      <c r="A26" s="10" t="inlineStr">
        <is>
          <t>B519</t>
        </is>
      </c>
      <c r="B26" s="3">
        <f>ConsolidatedMHrequirementJun25!B26</f>
        <v/>
      </c>
      <c r="C26" s="3" t="n"/>
      <c r="D26" s="3" t="n"/>
      <c r="E26" s="3" t="n"/>
      <c r="F26" s="67" t="n"/>
      <c r="G26" s="3">
        <f>ConsolidatedMHrequirementJun25!D26</f>
        <v/>
      </c>
      <c r="H26" s="3">
        <f>ConsolidatedMHrequirementJun25!C26</f>
        <v/>
      </c>
      <c r="I26" s="3">
        <f>ConsolidatedMHrequirementJun25!E26</f>
        <v/>
      </c>
      <c r="J26" s="41">
        <f>VLOOKUP(A26,ConsolidatedMHrequirementJun25!$A$4:$I$42,6,FALSE)</f>
        <v/>
      </c>
      <c r="K26" s="41" t="n"/>
      <c r="L26" s="3">
        <f>J26-K26</f>
        <v/>
      </c>
      <c r="M26" s="69">
        <f>ConsolidatedMHrequirementJun25!G26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>Shortage</t>
        </is>
      </c>
      <c r="W26" s="34" t="inlineStr">
        <is>
          <t xml:space="preserve"> </t>
        </is>
      </c>
    </row>
    <row r="27" hidden="1" s="125">
      <c r="A27" s="10" t="inlineStr">
        <is>
          <t>B548</t>
        </is>
      </c>
      <c r="B27" s="3">
        <f>ConsolidatedMHrequirementJun25!B27</f>
        <v/>
      </c>
      <c r="C27" s="41" t="n"/>
      <c r="D27" s="41" t="n"/>
      <c r="E27" s="41" t="n"/>
      <c r="F27" s="41" t="n"/>
      <c r="G27" s="3">
        <f>ConsolidatedMHrequirementJun25!D27</f>
        <v/>
      </c>
      <c r="H27" s="3">
        <f>ConsolidatedMHrequirementJun25!C27</f>
        <v/>
      </c>
      <c r="I27" s="3">
        <f>ConsolidatedMHrequirementJun25!E27</f>
        <v/>
      </c>
      <c r="J27" s="41">
        <f>VLOOKUP(A27,ConsolidatedMHrequirementJun25!$A$4:$I$42,6,FALSE)</f>
        <v/>
      </c>
      <c r="K27" s="41" t="n"/>
      <c r="L27" s="3">
        <f>J27-K27</f>
        <v/>
      </c>
      <c r="M27" s="69">
        <f>ConsolidatedMHrequirementJun25!G27</f>
        <v/>
      </c>
      <c r="N27" s="69" t="n"/>
      <c r="O27" s="69" t="n"/>
      <c r="P27" s="69" t="n"/>
      <c r="Q27" s="69" t="n"/>
      <c r="R27" s="69" t="n"/>
      <c r="S27" s="69" t="n"/>
      <c r="T27" s="69" t="n"/>
    </row>
    <row r="28" hidden="1" ht="15" customFormat="1" customHeight="1" s="34">
      <c r="A28" s="10" t="inlineStr">
        <is>
          <t>B559</t>
        </is>
      </c>
      <c r="B28" s="3">
        <f>ConsolidatedMHrequirementJun25!B28</f>
        <v/>
      </c>
      <c r="C28" s="3" t="n"/>
      <c r="D28" s="3" t="n"/>
      <c r="E28" s="3" t="n"/>
      <c r="F28" s="67" t="n"/>
      <c r="G28" s="3">
        <f>ConsolidatedMHrequirementJun25!D28</f>
        <v/>
      </c>
      <c r="H28" s="3">
        <f>ConsolidatedMHrequirementJun25!C28</f>
        <v/>
      </c>
      <c r="I28" s="3">
        <f>ConsolidatedMHrequirementJun25!E28</f>
        <v/>
      </c>
      <c r="J28" s="41">
        <f>VLOOKUP(A28,ConsolidatedMHrequirementJun25!$A$4:$I$42,6,FALSE)</f>
        <v/>
      </c>
      <c r="K28" s="41" t="n"/>
      <c r="L28" s="3">
        <f>J28-K28</f>
        <v/>
      </c>
      <c r="M28" s="69">
        <f>ConsolidatedMHrequirementJun25!G28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idden="1" ht="15" customFormat="1" customHeight="1" s="34">
      <c r="A29" s="10" t="inlineStr">
        <is>
          <t>B560</t>
        </is>
      </c>
      <c r="B29" s="3">
        <f>ConsolidatedMHrequirementJun25!B29</f>
        <v/>
      </c>
      <c r="C29" s="41" t="n"/>
      <c r="D29" s="41" t="n"/>
      <c r="E29" s="41" t="n"/>
      <c r="F29" s="54" t="n"/>
      <c r="G29" s="3">
        <f>ConsolidatedMHrequirementJun25!D29</f>
        <v/>
      </c>
      <c r="H29" s="3">
        <f>ConsolidatedMHrequirementJun25!C29</f>
        <v/>
      </c>
      <c r="I29" s="3">
        <f>ConsolidatedMHrequirementJun25!E29</f>
        <v/>
      </c>
      <c r="J29" s="41">
        <f>VLOOKUP(A29,ConsolidatedMHrequirementJun25!$A$4:$I$42,6,FALSE)</f>
        <v/>
      </c>
      <c r="K29" s="41" t="n"/>
      <c r="L29" s="3">
        <f>J29-K29</f>
        <v/>
      </c>
      <c r="M29" s="69">
        <f>ConsolidatedMHrequirementJun25!G29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idden="1" s="125">
      <c r="A30" s="10" t="inlineStr">
        <is>
          <t>B589</t>
        </is>
      </c>
      <c r="B30" s="3">
        <f>ConsolidatedMHrequirementJun25!B30</f>
        <v/>
      </c>
      <c r="C30" s="3" t="n"/>
      <c r="D30" s="3" t="n"/>
      <c r="E30" s="3" t="n"/>
      <c r="F30" s="66" t="n"/>
      <c r="G30" s="3">
        <f>ConsolidatedMHrequirementJun25!D30</f>
        <v/>
      </c>
      <c r="H30" s="3">
        <f>ConsolidatedMHrequirementJun25!C30</f>
        <v/>
      </c>
      <c r="I30" s="3">
        <f>ConsolidatedMHrequirementJun25!E30</f>
        <v/>
      </c>
      <c r="J30" s="41">
        <f>VLOOKUP(A30,ConsolidatedMHrequirementJun25!$A$4:$I$42,6,FALSE)</f>
        <v/>
      </c>
      <c r="K30" s="41" t="n"/>
      <c r="L30" s="3">
        <f>J30-K30</f>
        <v/>
      </c>
      <c r="M30" s="69">
        <f>ConsolidatedMHrequirementJun25!G30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idden="1" customFormat="1" s="34">
      <c r="A31" s="10" t="inlineStr">
        <is>
          <t>B650</t>
        </is>
      </c>
      <c r="B31" s="3">
        <f>ConsolidatedMHrequirementJun25!B31</f>
        <v/>
      </c>
      <c r="C31" s="3" t="n"/>
      <c r="D31" s="3" t="n"/>
      <c r="E31" s="3" t="n"/>
      <c r="F31" s="68" t="n"/>
      <c r="G31" s="3">
        <f>ConsolidatedMHrequirementJun25!D31</f>
        <v/>
      </c>
      <c r="H31" s="3">
        <f>ConsolidatedMHrequirementJun25!C31</f>
        <v/>
      </c>
      <c r="I31" s="3">
        <f>ConsolidatedMHrequirementJun25!E31</f>
        <v/>
      </c>
      <c r="J31" s="41">
        <f>VLOOKUP(A31,ConsolidatedMHrequirementJun25!$A$4:$I$42,6,FALSE)</f>
        <v/>
      </c>
      <c r="K31" s="41" t="n"/>
      <c r="L31" s="3">
        <f>J31-K31</f>
        <v/>
      </c>
      <c r="M31" s="69">
        <f>ConsolidatedMHrequirementJun25!G31</f>
        <v/>
      </c>
      <c r="N31" s="69" t="n"/>
      <c r="O31" s="69" t="n"/>
      <c r="P31" s="69" t="n"/>
      <c r="Q31" s="69" t="n"/>
      <c r="R31" s="69" t="n"/>
      <c r="S31" s="69" t="n"/>
      <c r="T31" s="69" t="n"/>
      <c r="X31" s="34" t="inlineStr">
        <is>
          <t xml:space="preserve"> </t>
        </is>
      </c>
    </row>
    <row r="32" hidden="1" ht="15" customFormat="1" customHeight="1" s="34">
      <c r="A32" s="10" t="inlineStr">
        <is>
          <t>B653</t>
        </is>
      </c>
      <c r="B32" s="3">
        <f>ConsolidatedMHrequirementJun25!B32</f>
        <v/>
      </c>
      <c r="C32" s="3" t="n"/>
      <c r="D32" s="3" t="n"/>
      <c r="E32" s="3" t="n"/>
      <c r="F32" s="66" t="n"/>
      <c r="G32" s="3">
        <f>ConsolidatedMHrequirementJun25!D32</f>
        <v/>
      </c>
      <c r="H32" s="3">
        <f>ConsolidatedMHrequirementJun25!C32</f>
        <v/>
      </c>
      <c r="I32" s="3">
        <f>ConsolidatedMHrequirementJun25!E32</f>
        <v/>
      </c>
      <c r="J32" s="41">
        <f>VLOOKUP(A32,ConsolidatedMHrequirementJun25!$A$4:$I$42,6,FALSE)</f>
        <v/>
      </c>
      <c r="K32" s="41" t="n">
        <v>40</v>
      </c>
      <c r="L32" s="3">
        <f>J32-K32</f>
        <v/>
      </c>
      <c r="M32" s="69">
        <f>ConsolidatedMHrequirementJun25!G32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hidden="1" ht="14.5" customFormat="1" customHeight="1" s="34">
      <c r="A33" s="10" t="inlineStr">
        <is>
          <t>B725</t>
        </is>
      </c>
      <c r="B33" s="3">
        <f>ConsolidatedMHrequirementJun25!B33</f>
        <v/>
      </c>
      <c r="C33" s="3" t="n"/>
      <c r="D33" s="3" t="n"/>
      <c r="E33" s="3" t="n"/>
      <c r="F33" s="68" t="n"/>
      <c r="G33" s="3">
        <f>ConsolidatedMHrequirementJun25!D33</f>
        <v/>
      </c>
      <c r="H33" s="3">
        <f>ConsolidatedMHrequirementJun25!C33</f>
        <v/>
      </c>
      <c r="I33" s="3">
        <f>ConsolidatedMHrequirementJun25!E33</f>
        <v/>
      </c>
      <c r="J33" s="41">
        <f>VLOOKUP(A33,ConsolidatedMHrequirementJun25!$A$4:$I$42,6,FALSE)</f>
        <v/>
      </c>
      <c r="K33" s="41" t="n"/>
      <c r="L33" s="3">
        <f>J33-K33</f>
        <v/>
      </c>
      <c r="M33" s="69">
        <f>ConsolidatedMHrequirementJun25!G33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hidden="1" ht="14.5" customFormat="1" customHeight="1" s="34">
      <c r="A34" s="10" t="inlineStr">
        <is>
          <t>B767</t>
        </is>
      </c>
      <c r="B34" s="3">
        <f>ConsolidatedMHrequirementJun25!B34</f>
        <v/>
      </c>
      <c r="C34" s="3" t="n"/>
      <c r="D34" s="3" t="n"/>
      <c r="E34" s="3" t="n"/>
      <c r="F34" s="68" t="n"/>
      <c r="G34" s="3">
        <f>ConsolidatedMHrequirementJun25!D34</f>
        <v/>
      </c>
      <c r="H34" s="3">
        <f>ConsolidatedMHrequirementJun25!C34</f>
        <v/>
      </c>
      <c r="I34" s="3">
        <f>ConsolidatedMHrequirementJun25!E34</f>
        <v/>
      </c>
      <c r="J34" s="41">
        <f>VLOOKUP(A34,ConsolidatedMHrequirementJun25!$A$4:$I$42,6,FALSE)</f>
        <v/>
      </c>
      <c r="K34" s="41" t="n"/>
      <c r="L34" s="3">
        <f>J34-K34</f>
        <v/>
      </c>
      <c r="M34" s="69">
        <f>ConsolidatedMHrequirementJun25!G34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idden="1" ht="14.5" customFormat="1" customHeight="1" s="34">
      <c r="A35" s="10" t="inlineStr">
        <is>
          <t>B795</t>
        </is>
      </c>
      <c r="B35" s="3">
        <f>ConsolidatedMHrequirementJun25!B35</f>
        <v/>
      </c>
      <c r="C35" s="3" t="n"/>
      <c r="D35" s="3" t="n"/>
      <c r="E35" s="3" t="n"/>
      <c r="F35" s="68" t="n"/>
      <c r="G35" s="3">
        <f>ConsolidatedMHrequirementJun25!D35</f>
        <v/>
      </c>
      <c r="H35" s="3">
        <f>ConsolidatedMHrequirementJun25!C35</f>
        <v/>
      </c>
      <c r="I35" s="3">
        <f>ConsolidatedMHrequirementJun25!E35</f>
        <v/>
      </c>
      <c r="J35" s="41">
        <f>VLOOKUP(A35,ConsolidatedMHrequirementJun25!$A$4:$I$42,6,FALSE)</f>
        <v/>
      </c>
      <c r="K35" s="41" t="n"/>
      <c r="L35" s="3">
        <f>J35-K35</f>
        <v/>
      </c>
      <c r="M35" s="69">
        <f>ConsolidatedMHrequirementJun25!G35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idden="1" ht="14.5" customFormat="1" customHeight="1" s="34">
      <c r="A36" s="10" t="inlineStr">
        <is>
          <t>B813</t>
        </is>
      </c>
      <c r="B36" s="3">
        <f>ConsolidatedMHrequirementJun25!B36</f>
        <v/>
      </c>
      <c r="C36" s="3" t="n"/>
      <c r="D36" s="3" t="n"/>
      <c r="E36" s="3" t="n"/>
      <c r="F36" s="68" t="n"/>
      <c r="G36" s="3">
        <f>ConsolidatedMHrequirementJun25!D36</f>
        <v/>
      </c>
      <c r="H36" s="3">
        <f>ConsolidatedMHrequirementJun25!C36</f>
        <v/>
      </c>
      <c r="I36" s="3">
        <f>ConsolidatedMHrequirementJun25!E36</f>
        <v/>
      </c>
      <c r="J36" s="41">
        <f>VLOOKUP(A36,ConsolidatedMHrequirementJun25!$A$4:$I$42,6,FALSE)</f>
        <v/>
      </c>
      <c r="K36" s="41" t="n"/>
      <c r="L36" s="3">
        <f>J36-K36</f>
        <v/>
      </c>
      <c r="M36" s="69">
        <f>ConsolidatedMHrequirementJun25!G36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idden="1" ht="22" customFormat="1" customHeight="1" s="34">
      <c r="A37" s="10" t="inlineStr">
        <is>
          <t>B862</t>
        </is>
      </c>
      <c r="B37" s="3">
        <f>ConsolidatedMHrequirementJun25!B37</f>
        <v/>
      </c>
      <c r="C37" s="3" t="n"/>
      <c r="D37" s="3" t="n"/>
      <c r="E37" s="3" t="n"/>
      <c r="F37" s="66" t="n"/>
      <c r="G37" s="3">
        <f>ConsolidatedMHrequirementJun25!D37</f>
        <v/>
      </c>
      <c r="H37" s="3">
        <f>ConsolidatedMHrequirementJun25!C37</f>
        <v/>
      </c>
      <c r="I37" s="3">
        <f>ConsolidatedMHrequirementJun25!E37</f>
        <v/>
      </c>
      <c r="J37" s="41">
        <f>VLOOKUP(A37,ConsolidatedMHrequirementJun25!$A$4:$I$42,6,FALSE)</f>
        <v/>
      </c>
      <c r="K37" s="41" t="n"/>
      <c r="L37" s="3">
        <f>J37-K37</f>
        <v/>
      </c>
      <c r="M37" s="69">
        <f>ConsolidatedMHrequirementJun25!G37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idden="1" ht="19" customFormat="1" customHeight="1" s="34">
      <c r="A38" s="10" t="inlineStr">
        <is>
          <t>B865</t>
        </is>
      </c>
      <c r="B38" s="3">
        <f>ConsolidatedMHrequirementJun25!B38</f>
        <v/>
      </c>
      <c r="C38" s="3" t="n"/>
      <c r="D38" s="3" t="n"/>
      <c r="E38" s="3" t="n"/>
      <c r="F38" s="66" t="n"/>
      <c r="G38" s="3">
        <f>ConsolidatedMHrequirementJun25!D38</f>
        <v/>
      </c>
      <c r="H38" s="3">
        <f>ConsolidatedMHrequirementJun25!C38</f>
        <v/>
      </c>
      <c r="I38" s="3">
        <f>ConsolidatedMHrequirementJun25!E38</f>
        <v/>
      </c>
      <c r="J38" s="41">
        <f>VLOOKUP(A38,ConsolidatedMHrequirementJun25!$A$4:$I$42,6,FALSE)</f>
        <v/>
      </c>
      <c r="K38" s="44" t="n"/>
      <c r="L38" s="3">
        <f>J38-K38</f>
        <v/>
      </c>
      <c r="M38" s="69">
        <f>ConsolidatedMHrequirementJun25!G38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idden="1" ht="20" customFormat="1" customHeight="1" s="34">
      <c r="A39" s="10" t="inlineStr">
        <is>
          <t>B903</t>
        </is>
      </c>
      <c r="B39" s="3">
        <f>ConsolidatedMHrequirementJun25!B39</f>
        <v/>
      </c>
      <c r="C39" s="3" t="n"/>
      <c r="D39" s="3" t="n"/>
      <c r="E39" s="3" t="n"/>
      <c r="F39" s="66" t="n"/>
      <c r="G39" s="3">
        <f>ConsolidatedMHrequirementJun25!D39</f>
        <v/>
      </c>
      <c r="H39" s="3">
        <f>ConsolidatedMHrequirementJun25!C39</f>
        <v/>
      </c>
      <c r="I39" s="3">
        <f>ConsolidatedMHrequirementJun25!E39</f>
        <v/>
      </c>
      <c r="J39" s="41">
        <f>VLOOKUP(A39,ConsolidatedMHrequirementJun25!$A$4:$I$42,6,FALSE)</f>
        <v/>
      </c>
      <c r="K39" s="44" t="n">
        <v>6</v>
      </c>
      <c r="L39" s="3">
        <f>J39-K39</f>
        <v/>
      </c>
      <c r="M39" s="69">
        <f>ConsolidatedMHrequirementJun25!G39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idden="1" customFormat="1" s="34">
      <c r="A40" s="10" t="inlineStr">
        <is>
          <t>B904</t>
        </is>
      </c>
      <c r="B40" s="3">
        <f>ConsolidatedMHrequirementJun25!B40</f>
        <v/>
      </c>
      <c r="C40" s="41" t="n"/>
      <c r="D40" s="41" t="n"/>
      <c r="E40" s="41" t="n"/>
      <c r="F40" s="54" t="n"/>
      <c r="G40" s="3">
        <f>ConsolidatedMHrequirementJun25!D40</f>
        <v/>
      </c>
      <c r="H40" s="3">
        <f>ConsolidatedMHrequirementJun25!C40</f>
        <v/>
      </c>
      <c r="I40" s="3">
        <f>ConsolidatedMHrequirementJun25!E40</f>
        <v/>
      </c>
      <c r="J40" s="41">
        <f>VLOOKUP(A40,ConsolidatedMHrequirementJun25!$A$4:$I$42,6,FALSE)</f>
        <v/>
      </c>
      <c r="K40" s="41" t="n">
        <v>2</v>
      </c>
      <c r="L40" s="3">
        <f>J40-K40</f>
        <v/>
      </c>
      <c r="M40" s="69">
        <f>ConsolidatedMHrequirementJun25!G40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idden="1" customFormat="1" s="34">
      <c r="A41" s="10" t="inlineStr">
        <is>
          <t>C007</t>
        </is>
      </c>
      <c r="B41" s="3">
        <f>ConsolidatedMHrequirementJun25!B41</f>
        <v/>
      </c>
      <c r="C41" s="41" t="n"/>
      <c r="D41" s="41" t="n"/>
      <c r="E41" s="41" t="n"/>
      <c r="F41" s="54" t="n"/>
      <c r="G41" s="3">
        <f>ConsolidatedMHrequirementJun25!D41</f>
        <v/>
      </c>
      <c r="H41" s="3">
        <f>ConsolidatedMHrequirementJun25!C41</f>
        <v/>
      </c>
      <c r="I41" s="3">
        <f>ConsolidatedMHrequirementJun25!E41</f>
        <v/>
      </c>
      <c r="J41" s="41">
        <f>VLOOKUP(A41,ConsolidatedMHrequirementJun25!$A$4:$I$42,6,FALSE)</f>
        <v/>
      </c>
      <c r="K41" s="41" t="n">
        <v>88</v>
      </c>
      <c r="L41" s="3">
        <f>J41-K41</f>
        <v/>
      </c>
      <c r="M41" s="69">
        <f>ConsolidatedMHrequirementJun25!G41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idden="1" s="125">
      <c r="A42" s="3" t="inlineStr">
        <is>
          <t>Leave</t>
        </is>
      </c>
      <c r="B42" s="3">
        <f>ConsolidatedMHrequirementJun25!B42</f>
        <v/>
      </c>
      <c r="C42" s="3" t="n"/>
      <c r="D42" s="3" t="n"/>
      <c r="E42" s="3" t="n"/>
      <c r="F42" s="3" t="n"/>
      <c r="G42" s="3">
        <f>ConsolidatedMHrequirementJun25!D42</f>
        <v/>
      </c>
      <c r="H42" s="3">
        <f>ConsolidatedMHrequirementJun25!C42</f>
        <v/>
      </c>
      <c r="I42" s="3">
        <f>ConsolidatedMHrequirementJun25!E42</f>
        <v/>
      </c>
      <c r="J42" s="41">
        <f>VLOOKUP(A42,ConsolidatedMHrequirementJun25!$A$4:$I$42,6,FALSE)</f>
        <v/>
      </c>
      <c r="K42" s="3" t="n">
        <v>8</v>
      </c>
      <c r="L42" s="3">
        <f>J42-K42</f>
        <v/>
      </c>
      <c r="M42" s="69">
        <f>ConsolidatedMHrequirementJun25!G42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idden="1" s="125">
      <c r="A43" s="3" t="inlineStr">
        <is>
          <t>Total</t>
        </is>
      </c>
      <c r="B43" s="3" t="n"/>
      <c r="C43" s="3" t="n"/>
      <c r="D43" s="3" t="n"/>
      <c r="E43" s="3" t="n"/>
      <c r="F43" s="3" t="n"/>
      <c r="G43" s="3">
        <f>ConsolidatedMHrequirementJun25!D43</f>
        <v/>
      </c>
      <c r="H43" s="3">
        <f>ConsolidatedMHrequirementJun25!C43</f>
        <v/>
      </c>
      <c r="I43" s="3">
        <f>ConsolidatedMHrequirementJun25!E43</f>
        <v/>
      </c>
      <c r="J43" s="41">
        <f>VLOOKUP(A43,ConsolidatedMHrequirementJun25!$A$4:$I$43,6,FALSE)</f>
        <v/>
      </c>
      <c r="K43" s="3">
        <f>SUM(K4:K42)</f>
        <v/>
      </c>
      <c r="L43" s="3">
        <f>SUM(L4:L42)</f>
        <v/>
      </c>
    </row>
    <row r="44">
      <c r="A44" s="55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55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24" t="inlineStr">
        <is>
          <t xml:space="preserve">Guidelines : </t>
        </is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</row>
    <row r="47">
      <c r="A47" s="26" t="inlineStr">
        <is>
          <t>1. Inspection Visit including review and endorsement of final documents: At  actual</t>
        </is>
      </c>
      <c r="B47" s="26" t="n"/>
    </row>
    <row r="48">
      <c r="A48" s="26" t="inlineStr">
        <is>
          <t xml:space="preserve">2. Expediting and preparation of expediting report: Average 2 hours /month /order ( No separate man hours for coordination ) </t>
        </is>
      </c>
    </row>
    <row r="49">
      <c r="A49" s="26" t="inlineStr">
        <is>
          <t xml:space="preserve">3. Expediting visit/ Attending meeting with project/.Client: At  actual </t>
        </is>
      </c>
    </row>
    <row r="50">
      <c r="A50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1">
      <c r="A51" s="26" t="inlineStr">
        <is>
          <t xml:space="preserve">5. Review of ITP for Equipment (Mechanical and Electrical/DCS etc): Average 2 hours/order </t>
        </is>
      </c>
    </row>
    <row r="52">
      <c r="A52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3">
      <c r="A53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4">
      <c r="A54" s="26" t="inlineStr">
        <is>
          <t xml:space="preserve">8. Order Closing report: Average 2 hours/Order  </t>
        </is>
      </c>
    </row>
  </sheetData>
  <autoFilter ref="A3:L43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pageMargins left="0.7" right="0.7" top="0.75" bottom="0.75" header="0.3" footer="0.3"/>
  <pageSetup orientation="landscape" scale="71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2:Q45"/>
  <sheetViews>
    <sheetView workbookViewId="0">
      <selection activeCell="A3" sqref="A3:K3"/>
    </sheetView>
  </sheetViews>
  <sheetFormatPr baseColWidth="8" defaultRowHeight="14.5"/>
  <cols>
    <col width="11.453125" customWidth="1" style="125" min="1" max="1"/>
    <col width="7.90625" customWidth="1" style="125" min="2" max="3"/>
    <col width="6" customWidth="1" style="125" min="4" max="4"/>
    <col width="14.1796875" customWidth="1" style="125" min="5" max="5"/>
    <col width="5.90625" customWidth="1" style="125" min="6" max="6"/>
    <col width="9.54296875" customWidth="1" style="125" min="7" max="7"/>
    <col width="8.90625" customWidth="1" style="125" min="8" max="8"/>
    <col width="5.6328125" customWidth="1" style="125" min="9" max="9"/>
    <col width="19.08984375" customWidth="1" style="125" min="11" max="11"/>
    <col width="18.6328125" customWidth="1" style="125" min="12" max="12"/>
  </cols>
  <sheetData>
    <row r="2">
      <c r="A2" s="78" t="n"/>
      <c r="B2" s="78" t="n"/>
      <c r="C2" s="78" t="n"/>
      <c r="D2" s="78" t="n"/>
      <c r="G2" s="78" t="n"/>
      <c r="H2" s="78" t="n"/>
    </row>
    <row r="3" ht="43.5" customHeight="1" s="125">
      <c r="A3" s="73" t="inlineStr">
        <is>
          <t>Job number</t>
        </is>
      </c>
      <c r="B3" s="79" t="inlineStr">
        <is>
          <t>Manhour sought</t>
        </is>
      </c>
      <c r="C3" s="105" t="n"/>
      <c r="D3" s="106" t="n"/>
      <c r="E3" s="74" t="inlineStr">
        <is>
          <t>Total required (Apr-Jun'25)</t>
        </is>
      </c>
      <c r="F3" s="82" t="n"/>
      <c r="G3" s="79" t="inlineStr">
        <is>
          <t>Manhour allocated</t>
        </is>
      </c>
      <c r="H3" s="80" t="n"/>
      <c r="I3" s="81" t="n"/>
      <c r="K3" s="77" t="inlineStr">
        <is>
          <t>Manhour pending from project as on 22/7/25</t>
        </is>
      </c>
      <c r="L3" s="14" t="inlineStr">
        <is>
          <t xml:space="preserve"> </t>
        </is>
      </c>
      <c r="M3" s="122" t="inlineStr">
        <is>
          <t>Final 8518 Bkd</t>
        </is>
      </c>
      <c r="P3" s="85" t="inlineStr">
        <is>
          <t>Monthwise Total</t>
        </is>
      </c>
      <c r="Q3" s="86" t="n"/>
    </row>
    <row r="4" hidden="1" s="125">
      <c r="A4" s="1" t="n"/>
      <c r="B4" s="118" t="inlineStr">
        <is>
          <t>April</t>
        </is>
      </c>
      <c r="C4" s="118" t="inlineStr">
        <is>
          <t>May</t>
        </is>
      </c>
      <c r="D4" s="118" t="inlineStr">
        <is>
          <t>June</t>
        </is>
      </c>
      <c r="E4" s="1" t="n"/>
      <c r="F4" s="1" t="n"/>
      <c r="G4" s="118" t="inlineStr">
        <is>
          <t>April</t>
        </is>
      </c>
      <c r="H4" s="118" t="inlineStr">
        <is>
          <t>May</t>
        </is>
      </c>
      <c r="I4" s="118" t="inlineStr">
        <is>
          <t>June</t>
        </is>
      </c>
      <c r="K4" s="28" t="n"/>
      <c r="M4" t="inlineStr">
        <is>
          <t>Apr</t>
        </is>
      </c>
      <c r="N4" t="inlineStr">
        <is>
          <t>May</t>
        </is>
      </c>
      <c r="O4" t="inlineStr">
        <is>
          <t>Jun</t>
        </is>
      </c>
      <c r="P4" s="87" t="n">
        <v>45748</v>
      </c>
      <c r="Q4" s="85" t="n">
        <v>960</v>
      </c>
    </row>
    <row r="5" hidden="1" ht="14.5" customHeight="1" s="125">
      <c r="A5" s="15">
        <f>'Jun25'!A4</f>
        <v/>
      </c>
      <c r="B5" s="1">
        <f>IFERROR(VLOOKUP('Apr-Jun25PjtMHShortfall'!A5,'Apr25'!$A$5:$L$36,10,FALSE),0)</f>
        <v/>
      </c>
      <c r="C5" s="1">
        <f>'May25'!J4</f>
        <v/>
      </c>
      <c r="D5" s="1">
        <f>'Jun25'!J4</f>
        <v/>
      </c>
      <c r="E5" s="1">
        <f>SUM(B5:D5)</f>
        <v/>
      </c>
      <c r="F5" s="1" t="n"/>
      <c r="G5" s="1">
        <f>IFERROR(VLOOKUP('Apr-Jun25PjtMHShortfall'!A5,'Apr25'!$A$5:$L$36,11,FALSE),0)</f>
        <v/>
      </c>
      <c r="H5" s="1">
        <f>IFERROR(VLOOKUP('Apr-Jun25PjtMHShortfall'!A5,'May25'!$A$4:$L$36,11,FALSE),0)</f>
        <v/>
      </c>
      <c r="I5" s="1">
        <f>IFERROR(VLOOKUP('Apr-Jun25PjtMHShortfall'!A5,'Jun25'!$A$4:$L$36,11,FALSE),0)</f>
        <v/>
      </c>
      <c r="K5" s="28">
        <f>E5-G5-H5-I5</f>
        <v/>
      </c>
      <c r="M5" t="n">
        <v>92</v>
      </c>
      <c r="N5" t="n">
        <v>558</v>
      </c>
      <c r="O5" t="n">
        <v>773</v>
      </c>
      <c r="P5" s="87" t="n">
        <v>45778</v>
      </c>
      <c r="Q5" s="85" t="n">
        <v>1008</v>
      </c>
    </row>
    <row r="6" hidden="1" ht="14.5" customHeight="1" s="125">
      <c r="A6" s="15">
        <f>'Jun25'!A5</f>
        <v/>
      </c>
      <c r="B6" s="1">
        <f>IFERROR(VLOOKUP('Apr-Jun25PjtMHShortfall'!A6,'Apr25'!$A$5:$L$36,10,FALSE),0)</f>
        <v/>
      </c>
      <c r="C6" s="1">
        <f>'May25'!J5</f>
        <v/>
      </c>
      <c r="D6" s="1">
        <f>'Jun25'!J5</f>
        <v/>
      </c>
      <c r="E6" s="1">
        <f>SUM(B6:D6)</f>
        <v/>
      </c>
      <c r="F6" s="1" t="n"/>
      <c r="G6" s="1">
        <f>IFERROR(VLOOKUP('Apr-Jun25PjtMHShortfall'!A6,'Apr25'!$A$5:$L$36,11,FALSE),0)</f>
        <v/>
      </c>
      <c r="H6" s="1">
        <f>IFERROR(VLOOKUP('Apr-Jun25PjtMHShortfall'!A6,'May25'!$A$4:$L$36,11,FALSE),0)</f>
        <v/>
      </c>
      <c r="I6" s="1">
        <f>IFERROR(VLOOKUP('Apr-Jun25PjtMHShortfall'!A6,'Jun25'!$A$5:$L$36,11,FALSE),0)</f>
        <v/>
      </c>
      <c r="K6" s="28">
        <f>E6-G6-H6-I6</f>
        <v/>
      </c>
      <c r="P6" s="87" t="n">
        <v>45809</v>
      </c>
      <c r="Q6" s="85" t="n">
        <v>1008</v>
      </c>
    </row>
    <row r="7" hidden="1" ht="14.5" customHeight="1" s="125">
      <c r="A7" s="15">
        <f>'Jun25'!A6</f>
        <v/>
      </c>
      <c r="B7" s="1">
        <f>IFERROR(VLOOKUP('Apr-Jun25PjtMHShortfall'!A7,'Apr25'!$A$5:$L$36,10,FALSE),0)</f>
        <v/>
      </c>
      <c r="C7" s="1">
        <f>'May25'!J6</f>
        <v/>
      </c>
      <c r="D7" s="1">
        <f>'Jun25'!J6</f>
        <v/>
      </c>
      <c r="E7" s="1">
        <f>SUM(B7:D7)</f>
        <v/>
      </c>
      <c r="F7" s="1" t="n"/>
      <c r="G7" s="1">
        <f>IFERROR(VLOOKUP('Apr-Jun25PjtMHShortfall'!A7,'Apr25'!$A$5:$L$36,11,FALSE),0)</f>
        <v/>
      </c>
      <c r="H7" s="1">
        <f>IFERROR(VLOOKUP('Apr-Jun25PjtMHShortfall'!A7,'May25'!$A$4:$L$36,11,FALSE),0)</f>
        <v/>
      </c>
      <c r="I7" s="1">
        <f>IFERROR(VLOOKUP('Apr-Jun25PjtMHShortfall'!A7,'Jun25'!$A$5:$L$36,11,FALSE),0)</f>
        <v/>
      </c>
      <c r="K7" s="28">
        <f>E7-G7-H7-I7</f>
        <v/>
      </c>
      <c r="N7" s="122">
        <f>M5+N5+O5</f>
        <v/>
      </c>
      <c r="P7" s="85" t="inlineStr">
        <is>
          <t>Total</t>
        </is>
      </c>
      <c r="Q7" s="85">
        <f>SUM(Q4:Q6)</f>
        <v/>
      </c>
    </row>
    <row r="8" hidden="1" ht="14.5" customHeight="1" s="125">
      <c r="A8" s="15">
        <f>'Jun25'!A7</f>
        <v/>
      </c>
      <c r="B8" s="1">
        <f>IFERROR(VLOOKUP('Apr-Jun25PjtMHShortfall'!A8,'Apr25'!$A$5:$L$36,10,FALSE),0)</f>
        <v/>
      </c>
      <c r="C8" s="1">
        <f>'May25'!J7</f>
        <v/>
      </c>
      <c r="D8" s="1">
        <f>'Jun25'!J7</f>
        <v/>
      </c>
      <c r="E8" s="1">
        <f>SUM(B8:D8)</f>
        <v/>
      </c>
      <c r="F8" s="1" t="n"/>
      <c r="G8" s="1">
        <f>IFERROR(VLOOKUP('Apr-Jun25PjtMHShortfall'!A8,'Apr25'!$A$5:$L$36,11,FALSE),0)</f>
        <v/>
      </c>
      <c r="H8" s="1">
        <f>IFERROR(VLOOKUP('Apr-Jun25PjtMHShortfall'!A8,'May25'!$A$4:$L$36,11,FALSE),0)</f>
        <v/>
      </c>
      <c r="I8" s="1" t="n">
        <v>600</v>
      </c>
      <c r="K8" s="28">
        <f>E8-G8-H8-I8</f>
        <v/>
      </c>
      <c r="P8" s="86" t="n"/>
      <c r="Q8" s="86" t="n"/>
    </row>
    <row r="9" hidden="1" ht="14.5" customHeight="1" s="125">
      <c r="A9" s="15">
        <f>'Jun25'!A8</f>
        <v/>
      </c>
      <c r="B9" s="1">
        <f>IFERROR(VLOOKUP('Apr-Jun25PjtMHShortfall'!A9,'Apr25'!$A$5:$L$36,10,FALSE),0)</f>
        <v/>
      </c>
      <c r="C9" s="1">
        <f>'May25'!J8</f>
        <v/>
      </c>
      <c r="D9" s="1">
        <f>'Jun25'!J8</f>
        <v/>
      </c>
      <c r="E9" s="1">
        <f>SUM(B9:D9)</f>
        <v/>
      </c>
      <c r="F9" s="1" t="n"/>
      <c r="G9" s="1">
        <f>IFERROR(VLOOKUP('Apr-Jun25PjtMHShortfall'!A9,'Apr25'!$A$5:$L$36,11,FALSE),0)</f>
        <v/>
      </c>
      <c r="H9" s="1">
        <f>IFERROR(VLOOKUP('Apr-Jun25PjtMHShortfall'!A9,'May25'!$A$4:$L$36,11,FALSE),0)</f>
        <v/>
      </c>
      <c r="I9" s="1">
        <f>IFERROR(VLOOKUP('Apr-Jun25PjtMHShortfall'!A9,'Jun25'!$A$5:$L$36,11,FALSE),0)</f>
        <v/>
      </c>
      <c r="K9" s="28">
        <f>E9-G9-H9-I9</f>
        <v/>
      </c>
      <c r="M9" s="83" t="inlineStr">
        <is>
          <t>%8518:</t>
        </is>
      </c>
      <c r="N9" s="88">
        <f>N7/Q7</f>
        <v/>
      </c>
      <c r="O9" s="83" t="n"/>
      <c r="P9" s="83" t="n"/>
      <c r="Q9" s="83" t="n"/>
    </row>
    <row r="10" hidden="1" ht="14.5" customHeight="1" s="125">
      <c r="A10" s="1">
        <f>'Jun25'!A9</f>
        <v/>
      </c>
      <c r="B10" s="1">
        <f>IFERROR(VLOOKUP('Apr-Jun25PjtMHShortfall'!A10,'Apr25'!$A$5:$L$36,10,FALSE),0)</f>
        <v/>
      </c>
      <c r="C10" s="1">
        <f>'May25'!J9</f>
        <v/>
      </c>
      <c r="D10" s="1">
        <f>'Jun25'!J9</f>
        <v/>
      </c>
      <c r="E10" s="1">
        <f>SUM(B10:D10)</f>
        <v/>
      </c>
      <c r="F10" s="1" t="n"/>
      <c r="G10" s="1">
        <f>IFERROR(VLOOKUP('Apr-Jun25PjtMHShortfall'!A10,'Apr25'!$A$5:$L$36,11,FALSE),0)</f>
        <v/>
      </c>
      <c r="H10" s="1">
        <f>IFERROR(VLOOKUP('Apr-Jun25PjtMHShortfall'!A10,'May25'!$A$4:$L$36,11,FALSE),0)</f>
        <v/>
      </c>
      <c r="I10" s="1">
        <f>IFERROR(VLOOKUP('Apr-Jun25PjtMHShortfall'!A10,'Jun25'!$A$5:$L$36,11,FALSE),0)</f>
        <v/>
      </c>
      <c r="K10" s="28">
        <f>E10-G10-H10-I10</f>
        <v/>
      </c>
      <c r="M10" s="83" t="inlineStr">
        <is>
          <t>%8518 due to non availability of Pjt MH:</t>
        </is>
      </c>
      <c r="N10" s="83" t="n"/>
      <c r="O10" s="83" t="n"/>
      <c r="P10" s="83" t="n"/>
      <c r="Q10" s="83">
        <f>SUM(K5:K7,K9:K43)</f>
        <v/>
      </c>
    </row>
    <row r="11" hidden="1" ht="14.5" customHeight="1" s="125">
      <c r="A11" s="1">
        <f>'Jun25'!A10</f>
        <v/>
      </c>
      <c r="B11" s="1">
        <f>IFERROR(VLOOKUP('Apr-Jun25PjtMHShortfall'!A11,'Apr25'!$A$5:$L$36,10,FALSE),0)</f>
        <v/>
      </c>
      <c r="C11" s="1">
        <f>'May25'!J10</f>
        <v/>
      </c>
      <c r="D11" s="1">
        <f>'Jun25'!J10</f>
        <v/>
      </c>
      <c r="E11" s="1">
        <f>SUM(B11:D11)</f>
        <v/>
      </c>
      <c r="F11" s="1" t="n"/>
      <c r="G11" s="1">
        <f>IFERROR(VLOOKUP('Apr-Jun25PjtMHShortfall'!A11,'Apr25'!$A$5:$L$36,11,FALSE),0)</f>
        <v/>
      </c>
      <c r="H11" s="1">
        <f>IFERROR(VLOOKUP('Apr-Jun25PjtMHShortfall'!A11,'May25'!$A$4:$L$36,11,FALSE),0)</f>
        <v/>
      </c>
      <c r="I11" s="1">
        <f>IFERROR(VLOOKUP('Apr-Jun25PjtMHShortfall'!A11,'Jun25'!$A$5:$L$36,11,FALSE),0)</f>
        <v/>
      </c>
      <c r="K11" s="28">
        <f>E11-G11-H11-I11</f>
        <v/>
      </c>
      <c r="M11" s="83" t="n"/>
      <c r="N11" s="83" t="n"/>
      <c r="O11" s="83" t="n"/>
      <c r="P11" s="83" t="n"/>
      <c r="Q11" s="88">
        <f>Q10/Q7</f>
        <v/>
      </c>
    </row>
    <row r="12" hidden="1" ht="14.5" customHeight="1" s="125">
      <c r="A12" s="1">
        <f>'Jun25'!A11</f>
        <v/>
      </c>
      <c r="B12" s="1">
        <f>IFERROR(VLOOKUP('Apr-Jun25PjtMHShortfall'!A12,'Apr25'!$A$5:$L$36,10,FALSE),0)</f>
        <v/>
      </c>
      <c r="C12" s="1">
        <f>'May25'!J11</f>
        <v/>
      </c>
      <c r="D12" s="1">
        <f>'Jun25'!J11</f>
        <v/>
      </c>
      <c r="E12" s="1">
        <f>SUM(B12:D12)</f>
        <v/>
      </c>
      <c r="F12" s="1" t="n"/>
      <c r="G12" s="1">
        <f>IFERROR(VLOOKUP('Apr-Jun25PjtMHShortfall'!A12,'Apr25'!$A$5:$L$36,11,FALSE),0)</f>
        <v/>
      </c>
      <c r="H12" s="1">
        <f>IFERROR(VLOOKUP('Apr-Jun25PjtMHShortfall'!A12,'May25'!$A$4:$L$36,11,FALSE),0)</f>
        <v/>
      </c>
      <c r="I12" s="1">
        <f>IFERROR(VLOOKUP('Apr-Jun25PjtMHShortfall'!A12,'Jun25'!$A$5:$L$36,11,FALSE),0)</f>
        <v/>
      </c>
      <c r="K12" s="28">
        <f>E12-G12-H12-I12</f>
        <v/>
      </c>
      <c r="M12" s="83" t="inlineStr">
        <is>
          <t>%8518 on Ov Hd</t>
        </is>
      </c>
      <c r="N12" s="83" t="n"/>
      <c r="O12" s="83" t="n"/>
      <c r="P12" s="83" t="n"/>
      <c r="Q12" s="89">
        <f>N9-Q11</f>
        <v/>
      </c>
    </row>
    <row r="13" hidden="1" ht="14.5" customHeight="1" s="125">
      <c r="A13" s="1">
        <f>'Jun25'!A12</f>
        <v/>
      </c>
      <c r="B13" s="1">
        <f>IFERROR(VLOOKUP('Apr-Jun25PjtMHShortfall'!A13,'Apr25'!$A$5:$L$36,10,FALSE),0)</f>
        <v/>
      </c>
      <c r="C13" s="1">
        <f>'May25'!J12</f>
        <v/>
      </c>
      <c r="D13" s="1">
        <f>'Jun25'!J12</f>
        <v/>
      </c>
      <c r="E13" s="1">
        <f>SUM(B13:D13)</f>
        <v/>
      </c>
      <c r="F13" s="1" t="n"/>
      <c r="G13" s="1">
        <f>IFERROR(VLOOKUP('Apr-Jun25PjtMHShortfall'!A13,'Apr25'!$A$5:$L$36,11,FALSE),0)</f>
        <v/>
      </c>
      <c r="H13" s="1">
        <f>IFERROR(VLOOKUP('Apr-Jun25PjtMHShortfall'!A13,'May25'!$A$4:$L$36,11,FALSE),0)</f>
        <v/>
      </c>
      <c r="I13" s="1">
        <f>IFERROR(VLOOKUP('Apr-Jun25PjtMHShortfall'!A13,'Jun25'!$A$5:$L$36,11,FALSE),0)</f>
        <v/>
      </c>
      <c r="K13" s="28">
        <f>E13-G13-H13-I13</f>
        <v/>
      </c>
    </row>
    <row r="14">
      <c r="A14" s="1">
        <f>'Jun25'!A13</f>
        <v/>
      </c>
      <c r="B14" s="1">
        <f>IFERROR(VLOOKUP('Apr-Jun25PjtMHShortfall'!A14,'Apr25'!$A$5:$L$36,10,FALSE),0)</f>
        <v/>
      </c>
      <c r="C14" s="1">
        <f>'May25'!J13</f>
        <v/>
      </c>
      <c r="D14" s="1">
        <f>'Jun25'!J13</f>
        <v/>
      </c>
      <c r="E14" s="1">
        <f>SUM(B14:D14)</f>
        <v/>
      </c>
      <c r="F14" s="1" t="n"/>
      <c r="G14" s="1">
        <f>IFERROR(VLOOKUP('Apr-Jun25PjtMHShortfall'!A14,'Apr25'!$A$5:$L$36,11,FALSE),0)</f>
        <v/>
      </c>
      <c r="H14" s="1">
        <f>IFERROR(VLOOKUP('Apr-Jun25PjtMHShortfall'!A14,'May25'!$A$4:$L$36,11,FALSE),0)</f>
        <v/>
      </c>
      <c r="I14" s="1">
        <f>IFERROR(VLOOKUP('Apr-Jun25PjtMHShortfall'!A14,'Jun25'!$A$5:$L$36,11,FALSE),0)</f>
        <v/>
      </c>
      <c r="K14" s="28">
        <f>E14-G14-H14-I14</f>
        <v/>
      </c>
    </row>
    <row r="15" hidden="1" ht="14.5" customHeight="1" s="125">
      <c r="A15" s="1">
        <f>'Jun25'!A14</f>
        <v/>
      </c>
      <c r="B15" s="1">
        <f>IFERROR(VLOOKUP('Apr-Jun25PjtMHShortfall'!A15,'Apr25'!$A$5:$L$36,10,FALSE),0)</f>
        <v/>
      </c>
      <c r="C15" s="1">
        <f>'May25'!J14</f>
        <v/>
      </c>
      <c r="D15" s="1">
        <f>'Jun25'!J14</f>
        <v/>
      </c>
      <c r="E15" s="1">
        <f>SUM(B15:D15)</f>
        <v/>
      </c>
      <c r="F15" s="1" t="n"/>
      <c r="G15" s="1">
        <f>IFERROR(VLOOKUP('Apr-Jun25PjtMHShortfall'!A15,'Apr25'!$A$5:$L$36,11,FALSE),0)</f>
        <v/>
      </c>
      <c r="H15" s="1">
        <f>IFERROR(VLOOKUP('Apr-Jun25PjtMHShortfall'!A15,'May25'!$A$4:$L$36,11,FALSE),0)</f>
        <v/>
      </c>
      <c r="I15" s="1">
        <f>IFERROR(VLOOKUP('Apr-Jun25PjtMHShortfall'!A15,'Jun25'!$A$5:$L$36,11,FALSE),0)</f>
        <v/>
      </c>
      <c r="K15" s="28">
        <f>E15-G15-H15-I15</f>
        <v/>
      </c>
    </row>
    <row r="16">
      <c r="A16" s="1">
        <f>'Jun25'!A15</f>
        <v/>
      </c>
      <c r="B16" s="1">
        <f>IFERROR(VLOOKUP('Apr-Jun25PjtMHShortfall'!A16,'Apr25'!$A$5:$L$36,10,FALSE),0)</f>
        <v/>
      </c>
      <c r="C16" s="1">
        <f>'May25'!J15</f>
        <v/>
      </c>
      <c r="D16" s="1">
        <f>'Jun25'!J15</f>
        <v/>
      </c>
      <c r="E16" s="1">
        <f>SUM(B16:D16)</f>
        <v/>
      </c>
      <c r="F16" s="1" t="n"/>
      <c r="G16" s="1">
        <f>IFERROR(VLOOKUP('Apr-Jun25PjtMHShortfall'!A16,'Apr25'!$A$5:$L$36,11,FALSE),0)</f>
        <v/>
      </c>
      <c r="H16" s="1">
        <f>IFERROR(VLOOKUP('Apr-Jun25PjtMHShortfall'!A16,'May25'!$A$4:$L$36,11,FALSE),0)</f>
        <v/>
      </c>
      <c r="I16" s="1">
        <f>IFERROR(VLOOKUP('Apr-Jun25PjtMHShortfall'!A16,'Jun25'!$A$5:$L$36,11,FALSE),0)</f>
        <v/>
      </c>
      <c r="K16" s="28">
        <f>E16-G16-H16-I16</f>
        <v/>
      </c>
    </row>
    <row r="17" hidden="1" s="125">
      <c r="A17" s="1">
        <f>'Jun25'!A16</f>
        <v/>
      </c>
      <c r="B17" s="1">
        <f>IFERROR(VLOOKUP('Apr-Jun25PjtMHShortfall'!A17,'Apr25'!$A$5:$L$36,10,FALSE),0)</f>
        <v/>
      </c>
      <c r="C17" s="1">
        <f>'May25'!J16</f>
        <v/>
      </c>
      <c r="D17" s="1">
        <f>'Jun25'!J16</f>
        <v/>
      </c>
      <c r="E17" s="1">
        <f>SUM(B17:D17)</f>
        <v/>
      </c>
      <c r="F17" s="1" t="n"/>
      <c r="G17" s="1">
        <f>IFERROR(VLOOKUP('Apr-Jun25PjtMHShortfall'!A17,'Apr25'!$A$5:$L$36,11,FALSE),0)</f>
        <v/>
      </c>
      <c r="H17" s="1">
        <f>IFERROR(VLOOKUP('Apr-Jun25PjtMHShortfall'!A17,'May25'!$A$4:$L$36,11,FALSE),0)</f>
        <v/>
      </c>
      <c r="I17" s="1">
        <f>IFERROR(VLOOKUP('Apr-Jun25PjtMHShortfall'!A17,'Jun25'!$A$5:$L$36,11,FALSE),0)</f>
        <v/>
      </c>
      <c r="K17" s="28">
        <f>E17-G17-H17-I17</f>
        <v/>
      </c>
    </row>
    <row r="18" ht="14.5" customHeight="1" s="125">
      <c r="A18" s="1">
        <f>'Jun25'!A17</f>
        <v/>
      </c>
      <c r="B18" s="1">
        <f>IFERROR(VLOOKUP('Apr-Jun25PjtMHShortfall'!A18,'Apr25'!$A$5:$L$36,10,FALSE),0)</f>
        <v/>
      </c>
      <c r="C18" s="1">
        <f>'May25'!J17</f>
        <v/>
      </c>
      <c r="D18" s="1">
        <f>'Jun25'!J17</f>
        <v/>
      </c>
      <c r="E18" s="1">
        <f>SUM(B18:D18)</f>
        <v/>
      </c>
      <c r="F18" s="1" t="n"/>
      <c r="G18" s="1">
        <f>IFERROR(VLOOKUP('Apr-Jun25PjtMHShortfall'!A18,'Apr25'!$A$5:$L$36,11,FALSE),0)</f>
        <v/>
      </c>
      <c r="H18" s="1">
        <f>IFERROR(VLOOKUP('Apr-Jun25PjtMHShortfall'!A18,'May25'!$A$4:$L$36,11,FALSE),0)</f>
        <v/>
      </c>
      <c r="I18" s="1">
        <f>IFERROR(VLOOKUP('Apr-Jun25PjtMHShortfall'!A18,'Jun25'!$A$5:$L$36,11,FALSE),0)</f>
        <v/>
      </c>
      <c r="K18" s="28">
        <f>E18-G18-H18-I18</f>
        <v/>
      </c>
    </row>
    <row r="19">
      <c r="A19" s="1">
        <f>'Jun25'!A18</f>
        <v/>
      </c>
      <c r="B19" s="1">
        <f>IFERROR(VLOOKUP('Apr-Jun25PjtMHShortfall'!A19,'Apr25'!$A$5:$L$36,10,FALSE),0)</f>
        <v/>
      </c>
      <c r="C19" s="1">
        <f>'May25'!J18</f>
        <v/>
      </c>
      <c r="D19" s="1">
        <f>'Jun25'!J18</f>
        <v/>
      </c>
      <c r="E19" s="1">
        <f>SUM(B19:D19)</f>
        <v/>
      </c>
      <c r="F19" s="1" t="n"/>
      <c r="G19" s="1">
        <f>IFERROR(VLOOKUP('Apr-Jun25PjtMHShortfall'!A19,'Apr25'!$A$5:$L$36,11,FALSE),0)</f>
        <v/>
      </c>
      <c r="H19" s="1">
        <f>IFERROR(VLOOKUP('Apr-Jun25PjtMHShortfall'!A19,'May25'!$A$4:$L$36,11,FALSE),0)</f>
        <v/>
      </c>
      <c r="I19" s="1">
        <f>IFERROR(VLOOKUP('Apr-Jun25PjtMHShortfall'!A19,'Jun25'!$A$5:$L$36,11,FALSE),0)</f>
        <v/>
      </c>
      <c r="K19" s="28">
        <f>E19-G19-H19-I19</f>
        <v/>
      </c>
    </row>
    <row r="20" hidden="1" ht="14.5" customHeight="1" s="125">
      <c r="A20" s="1">
        <f>'Jun25'!A19</f>
        <v/>
      </c>
      <c r="B20" s="1">
        <f>IFERROR(VLOOKUP('Apr-Jun25PjtMHShortfall'!A20,'Apr25'!$A$5:$L$36,10,FALSE),0)</f>
        <v/>
      </c>
      <c r="C20" s="1">
        <f>'May25'!J19</f>
        <v/>
      </c>
      <c r="D20" s="1">
        <f>'Jun25'!J19</f>
        <v/>
      </c>
      <c r="E20" s="1">
        <f>SUM(B20:D20)</f>
        <v/>
      </c>
      <c r="F20" s="1" t="n"/>
      <c r="G20" s="1">
        <f>IFERROR(VLOOKUP('Apr-Jun25PjtMHShortfall'!A20,'Apr25'!$A$5:$L$36,11,FALSE),0)</f>
        <v/>
      </c>
      <c r="H20" s="1">
        <f>IFERROR(VLOOKUP('Apr-Jun25PjtMHShortfall'!A20,'May25'!$A$4:$L$36,11,FALSE),0)</f>
        <v/>
      </c>
      <c r="I20" s="1">
        <f>IFERROR(VLOOKUP('Apr-Jun25PjtMHShortfall'!A20,'Jun25'!$A$5:$L$36,11,FALSE),0)</f>
        <v/>
      </c>
      <c r="K20" s="28">
        <f>E20-G20-H20-I20</f>
        <v/>
      </c>
    </row>
    <row r="21" hidden="1" s="125">
      <c r="A21" s="1">
        <f>'Jun25'!A20</f>
        <v/>
      </c>
      <c r="B21" s="1">
        <f>IFERROR(VLOOKUP('Apr-Jun25PjtMHShortfall'!A21,'Apr25'!$A$5:$L$36,10,FALSE),0)</f>
        <v/>
      </c>
      <c r="C21" s="1">
        <f>'May25'!J20</f>
        <v/>
      </c>
      <c r="D21" s="1">
        <f>'Jun25'!J20</f>
        <v/>
      </c>
      <c r="E21" s="1">
        <f>SUM(B21:D21)</f>
        <v/>
      </c>
      <c r="F21" s="1" t="n"/>
      <c r="G21" s="1">
        <f>IFERROR(VLOOKUP('Apr-Jun25PjtMHShortfall'!A21,'Apr25'!$A$5:$L$36,11,FALSE),0)</f>
        <v/>
      </c>
      <c r="H21" s="1">
        <f>IFERROR(VLOOKUP('Apr-Jun25PjtMHShortfall'!A21,'May25'!$A$4:$L$36,11,FALSE),0)</f>
        <v/>
      </c>
      <c r="I21" s="1">
        <f>IFERROR(VLOOKUP('Apr-Jun25PjtMHShortfall'!A21,'Jun25'!$A$5:$L$36,11,FALSE),0)</f>
        <v/>
      </c>
      <c r="K21" s="28">
        <f>E21-G21-H21-I21</f>
        <v/>
      </c>
    </row>
    <row r="22" hidden="1" s="125">
      <c r="A22" s="1">
        <f>'Jun25'!A21</f>
        <v/>
      </c>
      <c r="B22" s="1">
        <f>IFERROR(VLOOKUP('Apr-Jun25PjtMHShortfall'!A22,'Apr25'!$A$5:$L$36,10,FALSE),0)</f>
        <v/>
      </c>
      <c r="C22" s="1">
        <f>'May25'!J21</f>
        <v/>
      </c>
      <c r="D22" s="1">
        <f>'Jun25'!J21</f>
        <v/>
      </c>
      <c r="E22" s="1">
        <f>SUM(B22:D22)</f>
        <v/>
      </c>
      <c r="F22" s="1" t="n"/>
      <c r="G22" s="1">
        <f>IFERROR(VLOOKUP('Apr-Jun25PjtMHShortfall'!A22,'Apr25'!$A$5:$L$36,11,FALSE),0)</f>
        <v/>
      </c>
      <c r="H22" s="1">
        <f>IFERROR(VLOOKUP('Apr-Jun25PjtMHShortfall'!A22,'May25'!$A$4:$L$36,11,FALSE),0)</f>
        <v/>
      </c>
      <c r="I22" s="1">
        <f>IFERROR(VLOOKUP('Apr-Jun25PjtMHShortfall'!A22,'Jun25'!$A$5:$L$36,11,FALSE),0)</f>
        <v/>
      </c>
      <c r="K22" s="28">
        <f>E22-G22-H22-I22</f>
        <v/>
      </c>
    </row>
    <row r="23" ht="14.5" customHeight="1" s="125">
      <c r="A23" s="1">
        <f>'Jun25'!A22</f>
        <v/>
      </c>
      <c r="B23" s="1">
        <f>IFERROR(VLOOKUP('Apr-Jun25PjtMHShortfall'!A23,'Apr25'!$A$5:$L$36,10,FALSE),0)</f>
        <v/>
      </c>
      <c r="C23" s="1">
        <f>'May25'!J22</f>
        <v/>
      </c>
      <c r="D23" s="1">
        <f>'Jun25'!J22</f>
        <v/>
      </c>
      <c r="E23" s="1">
        <f>SUM(B23:D23)</f>
        <v/>
      </c>
      <c r="F23" s="1" t="n"/>
      <c r="G23" s="1">
        <f>IFERROR(VLOOKUP('Apr-Jun25PjtMHShortfall'!A23,'Apr25'!$A$5:$L$36,11,FALSE),0)</f>
        <v/>
      </c>
      <c r="H23" s="1">
        <f>IFERROR(VLOOKUP('Apr-Jun25PjtMHShortfall'!A23,'May25'!$A$4:$L$36,11,FALSE),0)</f>
        <v/>
      </c>
      <c r="I23" s="1">
        <f>IFERROR(VLOOKUP('Apr-Jun25PjtMHShortfall'!A23,'Jun25'!$A$5:$L$36,11,FALSE),0)</f>
        <v/>
      </c>
      <c r="K23" s="28">
        <f>E23-G23-H23-I23</f>
        <v/>
      </c>
    </row>
    <row r="24" hidden="1" s="125">
      <c r="A24" s="1">
        <f>'Jun25'!A23</f>
        <v/>
      </c>
      <c r="B24" s="1">
        <f>IFERROR(VLOOKUP('Apr-Jun25PjtMHShortfall'!A24,'Apr25'!$A$5:$L$36,10,FALSE),0)</f>
        <v/>
      </c>
      <c r="C24" s="1">
        <f>'May25'!J23</f>
        <v/>
      </c>
      <c r="D24" s="1">
        <f>'Jun25'!J23</f>
        <v/>
      </c>
      <c r="E24" s="1">
        <f>SUM(B24:D24)</f>
        <v/>
      </c>
      <c r="F24" s="1" t="n"/>
      <c r="G24" s="1">
        <f>IFERROR(VLOOKUP('Apr-Jun25PjtMHShortfall'!A24,'Apr25'!$A$5:$L$36,11,FALSE),0)</f>
        <v/>
      </c>
      <c r="H24" s="1">
        <f>IFERROR(VLOOKUP('Apr-Jun25PjtMHShortfall'!A24,'May25'!$A$4:$L$36,11,FALSE),0)</f>
        <v/>
      </c>
      <c r="I24" s="1">
        <f>IFERROR(VLOOKUP('Apr-Jun25PjtMHShortfall'!A24,'Jun25'!$A$5:$L$36,11,FALSE),0)</f>
        <v/>
      </c>
      <c r="K24" s="28">
        <f>E24-G24-H24-I24</f>
        <v/>
      </c>
    </row>
    <row r="25" hidden="1" ht="14.5" customHeight="1" s="125">
      <c r="A25" s="1">
        <f>'Jun25'!A24</f>
        <v/>
      </c>
      <c r="B25" s="1">
        <f>IFERROR(VLOOKUP('Apr-Jun25PjtMHShortfall'!A25,'Apr25'!$A$5:$L$36,10,FALSE),0)</f>
        <v/>
      </c>
      <c r="C25" s="1">
        <f>'May25'!J24</f>
        <v/>
      </c>
      <c r="D25" s="1">
        <f>'Jun25'!J24</f>
        <v/>
      </c>
      <c r="E25" s="1">
        <f>SUM(B25:D25)</f>
        <v/>
      </c>
      <c r="F25" s="1" t="n"/>
      <c r="G25" s="1">
        <f>IFERROR(VLOOKUP('Apr-Jun25PjtMHShortfall'!A25,'Apr25'!$A$5:$L$36,11,FALSE),0)</f>
        <v/>
      </c>
      <c r="H25" s="1">
        <f>IFERROR(VLOOKUP('Apr-Jun25PjtMHShortfall'!A25,'May25'!$A$4:$L$36,11,FALSE),0)</f>
        <v/>
      </c>
      <c r="I25" s="1" t="n">
        <v>30</v>
      </c>
      <c r="K25" s="28">
        <f>E25-G25-H25-I25</f>
        <v/>
      </c>
    </row>
    <row r="26" hidden="1" ht="14.5" customHeight="1" s="125">
      <c r="A26" s="1">
        <f>'Jun25'!A25</f>
        <v/>
      </c>
      <c r="B26" s="1">
        <f>IFERROR(VLOOKUP('Apr-Jun25PjtMHShortfall'!A26,'Apr25'!$A$5:$L$36,10,FALSE),0)</f>
        <v/>
      </c>
      <c r="C26" s="1">
        <f>'May25'!J25</f>
        <v/>
      </c>
      <c r="D26" s="1">
        <f>'Jun25'!J25</f>
        <v/>
      </c>
      <c r="E26" s="1">
        <f>SUM(B26:D26)</f>
        <v/>
      </c>
      <c r="F26" s="1" t="n"/>
      <c r="G26" s="1">
        <f>IFERROR(VLOOKUP('Apr-Jun25PjtMHShortfall'!A26,'Apr25'!$A$5:$L$36,11,FALSE),0)</f>
        <v/>
      </c>
      <c r="H26" s="1">
        <f>IFERROR(VLOOKUP('Apr-Jun25PjtMHShortfall'!A26,'May25'!$A$4:$L$36,11,FALSE),0)</f>
        <v/>
      </c>
      <c r="I26" s="1">
        <f>IFERROR(VLOOKUP('Apr-Jun25PjtMHShortfall'!A26,'Jun25'!$A$5:$L$36,11,FALSE),0)</f>
        <v/>
      </c>
      <c r="K26" s="28">
        <f>E26-G26-H26-I26</f>
        <v/>
      </c>
    </row>
    <row r="27" hidden="1" ht="14.5" customHeight="1" s="125">
      <c r="A27" s="1">
        <f>'Jun25'!A26</f>
        <v/>
      </c>
      <c r="B27" s="1">
        <f>IFERROR(VLOOKUP('Apr-Jun25PjtMHShortfall'!A27,'Apr25'!$A$5:$L$36,10,FALSE),0)</f>
        <v/>
      </c>
      <c r="C27" s="1">
        <f>'May25'!J26</f>
        <v/>
      </c>
      <c r="D27" s="1">
        <f>'Jun25'!J26</f>
        <v/>
      </c>
      <c r="E27" s="1">
        <f>SUM(B27:D27)</f>
        <v/>
      </c>
      <c r="F27" s="1" t="n"/>
      <c r="G27" s="1">
        <f>IFERROR(VLOOKUP('Apr-Jun25PjtMHShortfall'!A27,'Apr25'!$A$5:$L$36,11,FALSE),0)</f>
        <v/>
      </c>
      <c r="H27" s="1">
        <f>IFERROR(VLOOKUP('Apr-Jun25PjtMHShortfall'!A27,'May25'!$A$4:$L$36,11,FALSE),0)</f>
        <v/>
      </c>
      <c r="I27" s="1">
        <f>IFERROR(VLOOKUP('Apr-Jun25PjtMHShortfall'!A27,'Jun25'!$A$5:$L$36,11,FALSE),0)</f>
        <v/>
      </c>
      <c r="K27" s="28">
        <f>E27-G27-H27-I27</f>
        <v/>
      </c>
    </row>
    <row r="28" hidden="1" ht="14.5" customHeight="1" s="125">
      <c r="A28" s="1">
        <f>'Jun25'!A27</f>
        <v/>
      </c>
      <c r="B28" s="1">
        <f>IFERROR(VLOOKUP('Apr-Jun25PjtMHShortfall'!A28,'Apr25'!$A$5:$L$36,10,FALSE),0)</f>
        <v/>
      </c>
      <c r="C28" s="1">
        <f>'May25'!J27</f>
        <v/>
      </c>
      <c r="D28" s="1">
        <f>'Jun25'!J27</f>
        <v/>
      </c>
      <c r="E28" s="1">
        <f>SUM(B28:D28)</f>
        <v/>
      </c>
      <c r="F28" s="1" t="n"/>
      <c r="G28" s="1">
        <f>IFERROR(VLOOKUP('Apr-Jun25PjtMHShortfall'!A28,'Apr25'!$A$5:$L$36,11,FALSE),0)</f>
        <v/>
      </c>
      <c r="H28" s="1">
        <f>IFERROR(VLOOKUP('Apr-Jun25PjtMHShortfall'!A28,'May25'!$A$4:$L$36,11,FALSE),0)</f>
        <v/>
      </c>
      <c r="I28" s="1">
        <f>IFERROR(VLOOKUP('Apr-Jun25PjtMHShortfall'!A28,'Jun25'!$A$5:$L$36,11,FALSE),0)</f>
        <v/>
      </c>
      <c r="K28" s="28">
        <f>E28-G28-H28-I28</f>
        <v/>
      </c>
    </row>
    <row r="29" hidden="1" s="125">
      <c r="A29" s="1">
        <f>'Jun25'!A28</f>
        <v/>
      </c>
      <c r="B29" s="1">
        <f>IFERROR(VLOOKUP('Apr-Jun25PjtMHShortfall'!A29,'Apr25'!$A$5:$L$36,10,FALSE),0)</f>
        <v/>
      </c>
      <c r="C29" s="1">
        <f>'May25'!J28</f>
        <v/>
      </c>
      <c r="D29" s="1">
        <f>'Jun25'!J28</f>
        <v/>
      </c>
      <c r="E29" s="1">
        <f>SUM(B29:D29)</f>
        <v/>
      </c>
      <c r="F29" s="1" t="n"/>
      <c r="G29" s="1">
        <f>IFERROR(VLOOKUP('Apr-Jun25PjtMHShortfall'!A29,'Apr25'!$A$5:$L$36,11,FALSE),0)</f>
        <v/>
      </c>
      <c r="H29" s="1">
        <f>IFERROR(VLOOKUP('Apr-Jun25PjtMHShortfall'!A29,'May25'!$A$4:$L$36,11,FALSE),0)</f>
        <v/>
      </c>
      <c r="I29" s="1">
        <f>IFERROR(VLOOKUP('Apr-Jun25PjtMHShortfall'!A29,'Jun25'!$A$5:$L$36,11,FALSE),0)</f>
        <v/>
      </c>
      <c r="K29" s="28">
        <f>E29-G29-H29-I29</f>
        <v/>
      </c>
    </row>
    <row r="30" hidden="1" s="125">
      <c r="A30" s="1">
        <f>'Jun25'!A29</f>
        <v/>
      </c>
      <c r="B30" s="1">
        <f>IFERROR(VLOOKUP('Apr-Jun25PjtMHShortfall'!A30,'Apr25'!$A$5:$L$36,10,FALSE),0)</f>
        <v/>
      </c>
      <c r="C30" s="1">
        <f>'May25'!J29</f>
        <v/>
      </c>
      <c r="D30" s="1">
        <f>'Jun25'!J29</f>
        <v/>
      </c>
      <c r="E30" s="1">
        <f>SUM(B30:D30)</f>
        <v/>
      </c>
      <c r="F30" s="1" t="n"/>
      <c r="G30" s="1">
        <f>IFERROR(VLOOKUP('Apr-Jun25PjtMHShortfall'!A30,'Apr25'!$A$5:$L$36,11,FALSE),0)</f>
        <v/>
      </c>
      <c r="H30" s="1">
        <f>IFERROR(VLOOKUP('Apr-Jun25PjtMHShortfall'!A30,'May25'!$A$4:$L$36,11,FALSE),0)</f>
        <v/>
      </c>
      <c r="I30" s="1">
        <f>IFERROR(VLOOKUP('Apr-Jun25PjtMHShortfall'!A30,'Jun25'!$A$5:$L$36,11,FALSE),0)</f>
        <v/>
      </c>
      <c r="K30" s="28">
        <f>E30-G30-H30-I30</f>
        <v/>
      </c>
    </row>
    <row r="31" hidden="1" ht="14.5" customHeight="1" s="125">
      <c r="A31" s="1">
        <f>'Jun25'!A30</f>
        <v/>
      </c>
      <c r="B31" s="1">
        <f>IFERROR(VLOOKUP('Apr-Jun25PjtMHShortfall'!A31,'Apr25'!$A$5:$L$36,10,FALSE),0)</f>
        <v/>
      </c>
      <c r="C31" s="1">
        <f>'May25'!J30</f>
        <v/>
      </c>
      <c r="D31" s="1">
        <f>'Jun25'!J30</f>
        <v/>
      </c>
      <c r="E31" s="1">
        <f>SUM(B31:D31)</f>
        <v/>
      </c>
      <c r="F31" s="1" t="n"/>
      <c r="G31" s="1">
        <f>IFERROR(VLOOKUP('Apr-Jun25PjtMHShortfall'!A31,'Apr25'!$A$5:$L$36,11,FALSE),0)</f>
        <v/>
      </c>
      <c r="H31" s="1">
        <f>IFERROR(VLOOKUP('Apr-Jun25PjtMHShortfall'!A31,'May25'!$A$4:$L$36,11,FALSE),0)</f>
        <v/>
      </c>
      <c r="I31" s="1">
        <f>IFERROR(VLOOKUP('Apr-Jun25PjtMHShortfall'!A31,'Jun25'!$A$5:$L$36,11,FALSE),0)</f>
        <v/>
      </c>
      <c r="K31" s="28">
        <f>E31-G31-H31-I31</f>
        <v/>
      </c>
    </row>
    <row r="32" hidden="1" ht="14.5" customHeight="1" s="125">
      <c r="A32" s="1">
        <f>'Jun25'!A31</f>
        <v/>
      </c>
      <c r="B32" s="1">
        <f>IFERROR(VLOOKUP('Apr-Jun25PjtMHShortfall'!A32,'Apr25'!$A$5:$L$36,10,FALSE),0)</f>
        <v/>
      </c>
      <c r="C32" s="1">
        <f>'May25'!J31</f>
        <v/>
      </c>
      <c r="D32" s="1">
        <f>'Jun25'!J31</f>
        <v/>
      </c>
      <c r="E32" s="1">
        <f>SUM(B32:D32)</f>
        <v/>
      </c>
      <c r="F32" s="1" t="n"/>
      <c r="G32" s="1">
        <f>IFERROR(VLOOKUP('Apr-Jun25PjtMHShortfall'!A32,'Apr25'!$A$5:$L$36,11,FALSE),0)</f>
        <v/>
      </c>
      <c r="H32" s="1">
        <f>IFERROR(VLOOKUP('Apr-Jun25PjtMHShortfall'!A32,'May25'!$A$4:$L$36,11,FALSE),0)</f>
        <v/>
      </c>
      <c r="I32" s="1">
        <f>IFERROR(VLOOKUP('Apr-Jun25PjtMHShortfall'!A32,'Jun25'!$A$5:$L$36,11,FALSE),0)</f>
        <v/>
      </c>
      <c r="K32" s="28">
        <f>E32-G32-H32-I32</f>
        <v/>
      </c>
    </row>
    <row r="33" hidden="1" ht="14.5" customHeight="1" s="125">
      <c r="A33" s="1">
        <f>'Jun25'!A32</f>
        <v/>
      </c>
      <c r="B33" s="1">
        <f>IFERROR(VLOOKUP('Apr-Jun25PjtMHShortfall'!A33,'Apr25'!$A$5:$L$36,10,FALSE),0)</f>
        <v/>
      </c>
      <c r="C33" s="1">
        <f>'May25'!J32</f>
        <v/>
      </c>
      <c r="D33" s="1">
        <f>'Jun25'!J32</f>
        <v/>
      </c>
      <c r="E33" s="1">
        <f>SUM(B33:D33)</f>
        <v/>
      </c>
      <c r="F33" s="1" t="n"/>
      <c r="G33" s="1">
        <f>IFERROR(VLOOKUP('Apr-Jun25PjtMHShortfall'!A33,'Apr25'!$A$5:$L$36,11,FALSE),0)</f>
        <v/>
      </c>
      <c r="H33" s="1">
        <f>IFERROR(VLOOKUP('Apr-Jun25PjtMHShortfall'!A33,'May25'!$A$4:$L$36,11,FALSE),0)</f>
        <v/>
      </c>
      <c r="I33" s="1">
        <f>IFERROR(VLOOKUP('Apr-Jun25PjtMHShortfall'!A33,'Jun25'!$A$5:$L$36,11,FALSE),0)</f>
        <v/>
      </c>
      <c r="K33" s="28">
        <f>E33-G33-H33-I33</f>
        <v/>
      </c>
    </row>
    <row r="34" hidden="1" s="125">
      <c r="A34" s="1">
        <f>'Jun25'!A33</f>
        <v/>
      </c>
      <c r="B34" s="1">
        <f>IFERROR(VLOOKUP('Apr-Jun25PjtMHShortfall'!A34,'Apr25'!$A$5:$L$36,10,FALSE),0)</f>
        <v/>
      </c>
      <c r="C34" s="1">
        <f>'May25'!J33</f>
        <v/>
      </c>
      <c r="D34" s="1">
        <f>'Jun25'!J33</f>
        <v/>
      </c>
      <c r="E34" s="1">
        <f>SUM(B34:D34)</f>
        <v/>
      </c>
      <c r="F34" s="1" t="n"/>
      <c r="G34" s="1">
        <f>IFERROR(VLOOKUP('Apr-Jun25PjtMHShortfall'!A34,'Apr25'!$A$5:$L$36,11,FALSE),0)</f>
        <v/>
      </c>
      <c r="H34" s="1">
        <f>IFERROR(VLOOKUP('Apr-Jun25PjtMHShortfall'!A34,'May25'!$A$4:$L$36,11,FALSE),0)</f>
        <v/>
      </c>
      <c r="I34" s="1">
        <f>IFERROR(VLOOKUP('Apr-Jun25PjtMHShortfall'!A34,'Jun25'!$A$5:$L$36,11,FALSE),0)</f>
        <v/>
      </c>
      <c r="K34" s="28">
        <f>E34-G34-H34-I34</f>
        <v/>
      </c>
    </row>
    <row r="35" hidden="1" ht="14.5" customHeight="1" s="125">
      <c r="A35" s="1">
        <f>'Jun25'!A34</f>
        <v/>
      </c>
      <c r="B35" s="1">
        <f>IFERROR(VLOOKUP('Apr-Jun25PjtMHShortfall'!A35,'Apr25'!$A$5:$L$36,10,FALSE),0)</f>
        <v/>
      </c>
      <c r="C35" s="1">
        <f>'May25'!J34</f>
        <v/>
      </c>
      <c r="D35" s="1">
        <f>'Jun25'!J34</f>
        <v/>
      </c>
      <c r="E35" s="1">
        <f>SUM(B35:D35)</f>
        <v/>
      </c>
      <c r="F35" s="1" t="n"/>
      <c r="G35" s="1">
        <f>IFERROR(VLOOKUP('Apr-Jun25PjtMHShortfall'!A35,'Apr25'!$A$5:$L$36,11,FALSE),0)</f>
        <v/>
      </c>
      <c r="H35" s="1">
        <f>IFERROR(VLOOKUP('Apr-Jun25PjtMHShortfall'!A35,'May25'!$A$4:$L$36,11,FALSE),0)</f>
        <v/>
      </c>
      <c r="I35" s="1">
        <f>IFERROR(VLOOKUP('Apr-Jun25PjtMHShortfall'!A35,'Jun25'!$A$5:$L$36,11,FALSE),0)</f>
        <v/>
      </c>
      <c r="K35" s="28">
        <f>E35-G35-H35-I35</f>
        <v/>
      </c>
    </row>
    <row r="36" hidden="1" ht="14.5" customHeight="1" s="125">
      <c r="A36" s="1">
        <f>'Jun25'!A35</f>
        <v/>
      </c>
      <c r="B36" s="1">
        <f>IFERROR(VLOOKUP('Apr-Jun25PjtMHShortfall'!A36,'Apr25'!$A$5:$L$36,10,FALSE),0)</f>
        <v/>
      </c>
      <c r="C36" s="1">
        <f>'May25'!J35</f>
        <v/>
      </c>
      <c r="D36" s="1">
        <f>'Jun25'!J35</f>
        <v/>
      </c>
      <c r="E36" s="1">
        <f>SUM(B36:D36)</f>
        <v/>
      </c>
      <c r="F36" s="1" t="n"/>
      <c r="G36" s="1">
        <f>IFERROR(VLOOKUP('Apr-Jun25PjtMHShortfall'!A36,'Apr25'!$A$5:$L$36,11,FALSE),0)</f>
        <v/>
      </c>
      <c r="H36" s="1">
        <f>IFERROR(VLOOKUP('Apr-Jun25PjtMHShortfall'!A36,'May25'!$A$4:$L$36,11,FALSE),0)</f>
        <v/>
      </c>
      <c r="I36" s="1">
        <f>IFERROR(VLOOKUP('Apr-Jun25PjtMHShortfall'!A36,'Jun25'!$A$5:$L$36,11,FALSE),0)</f>
        <v/>
      </c>
      <c r="K36" s="28">
        <f>E36-G36-H36-I36</f>
        <v/>
      </c>
    </row>
    <row r="37" hidden="1" s="125">
      <c r="A37" s="1">
        <f>'Jun25'!A36</f>
        <v/>
      </c>
      <c r="B37" s="1">
        <f>IFERROR(VLOOKUP('Apr-Jun25PjtMHShortfall'!A37,'Apr25'!$A$5:$L$36,10,FALSE),0)</f>
        <v/>
      </c>
      <c r="C37" s="1">
        <f>'May25'!J36</f>
        <v/>
      </c>
      <c r="D37" s="1">
        <f>'Jun25'!J36</f>
        <v/>
      </c>
      <c r="E37" s="1">
        <f>SUM(B37:D37)</f>
        <v/>
      </c>
      <c r="F37" s="1" t="n"/>
      <c r="G37" s="1">
        <f>IFERROR(VLOOKUP('Apr-Jun25PjtMHShortfall'!A37,'Apr25'!$A$5:$L$36,11,FALSE),0)</f>
        <v/>
      </c>
      <c r="H37" s="1">
        <f>IFERROR(VLOOKUP('Apr-Jun25PjtMHShortfall'!A37,'May25'!$A$4:$L$36,11,FALSE),0)</f>
        <v/>
      </c>
      <c r="I37" s="1">
        <f>IFERROR(VLOOKUP('Apr-Jun25PjtMHShortfall'!A37,'Jun25'!$A$5:$L$36,11,FALSE),0)</f>
        <v/>
      </c>
      <c r="K37" s="28">
        <f>E37-G37-H37-I37</f>
        <v/>
      </c>
    </row>
    <row r="38" hidden="1" s="125">
      <c r="A38" s="1">
        <f>'Jun25'!A37</f>
        <v/>
      </c>
      <c r="B38" s="1">
        <f>IFERROR(VLOOKUP('Apr-Jun25PjtMHShortfall'!A38,'Apr25'!$A$5:$L$36,10,FALSE),0)</f>
        <v/>
      </c>
      <c r="C38" s="1">
        <f>'May25'!J37</f>
        <v/>
      </c>
      <c r="D38" s="1">
        <f>'Jun25'!J37</f>
        <v/>
      </c>
      <c r="E38" s="1">
        <f>SUM(B38:D38)</f>
        <v/>
      </c>
      <c r="F38" s="1" t="n"/>
      <c r="G38" s="1">
        <f>IFERROR(VLOOKUP('Apr-Jun25PjtMHShortfall'!A38,'Apr25'!$A$5:$L$36,11,FALSE),0)</f>
        <v/>
      </c>
      <c r="H38" s="1">
        <f>IFERROR(VLOOKUP('Apr-Jun25PjtMHShortfall'!A38,'May25'!$A$4:$L$36,11,FALSE),0)</f>
        <v/>
      </c>
      <c r="I38" s="1">
        <f>IFERROR(VLOOKUP('Apr-Jun25PjtMHShortfall'!A38,'Jun25'!$A$5:$L$36,11,FALSE),0)</f>
        <v/>
      </c>
      <c r="K38" s="28">
        <f>E38-G38-H38-I38</f>
        <v/>
      </c>
    </row>
    <row r="39" hidden="1" s="125">
      <c r="A39" s="1">
        <f>'Jun25'!A38</f>
        <v/>
      </c>
      <c r="B39" s="1">
        <f>IFERROR(VLOOKUP('Apr-Jun25PjtMHShortfall'!A39,'Apr25'!$A$5:$L$36,10,FALSE),0)</f>
        <v/>
      </c>
      <c r="C39" s="1">
        <f>'May25'!J38</f>
        <v/>
      </c>
      <c r="D39" s="1">
        <f>'Jun25'!J38</f>
        <v/>
      </c>
      <c r="E39" s="1">
        <f>SUM(B39:D39)</f>
        <v/>
      </c>
      <c r="F39" s="1" t="n"/>
      <c r="G39" s="1">
        <f>IFERROR(VLOOKUP('Apr-Jun25PjtMHShortfall'!A39,'Apr25'!$A$5:$L$36,11,FALSE),0)</f>
        <v/>
      </c>
      <c r="H39" s="1">
        <f>IFERROR(VLOOKUP('Apr-Jun25PjtMHShortfall'!A39,'May25'!$A$4:$L$36,11,FALSE),0)</f>
        <v/>
      </c>
      <c r="I39" s="1">
        <f>IFERROR(VLOOKUP('Apr-Jun25PjtMHShortfall'!A39,'Jun25'!$A$5:$L$36,11,FALSE),0)</f>
        <v/>
      </c>
      <c r="K39" s="28">
        <f>E39-G39-H39-I39</f>
        <v/>
      </c>
    </row>
    <row r="40" hidden="1" s="125">
      <c r="A40" s="1">
        <f>'Jun25'!A39</f>
        <v/>
      </c>
      <c r="B40" s="1">
        <f>IFERROR(VLOOKUP('Apr-Jun25PjtMHShortfall'!A40,'Apr25'!$A$5:$L$36,10,FALSE),0)</f>
        <v/>
      </c>
      <c r="C40" s="1">
        <f>'May25'!J39</f>
        <v/>
      </c>
      <c r="D40" s="1">
        <f>'Jun25'!J39</f>
        <v/>
      </c>
      <c r="E40" s="1">
        <f>SUM(B40:D40)</f>
        <v/>
      </c>
      <c r="F40" s="1" t="n"/>
      <c r="G40" s="1">
        <f>IFERROR(VLOOKUP('Apr-Jun25PjtMHShortfall'!A40,'Apr25'!$A$5:$L$36,11,FALSE),0)</f>
        <v/>
      </c>
      <c r="H40" s="1">
        <f>IFERROR(VLOOKUP('Apr-Jun25PjtMHShortfall'!A40,'May25'!$A$4:$L$36,11,FALSE),0)</f>
        <v/>
      </c>
      <c r="I40" s="1" t="n">
        <v>6</v>
      </c>
      <c r="K40" s="28">
        <f>E40-G40-H40-I40</f>
        <v/>
      </c>
    </row>
    <row r="41" hidden="1" s="125">
      <c r="A41" s="1">
        <f>'Jun25'!A40</f>
        <v/>
      </c>
      <c r="B41" s="1">
        <f>IFERROR(VLOOKUP('Apr-Jun25PjtMHShortfall'!A41,'Apr25'!$A$5:$L$36,10,FALSE),0)</f>
        <v/>
      </c>
      <c r="C41" s="1">
        <f>'May25'!J40</f>
        <v/>
      </c>
      <c r="D41" s="1">
        <f>'Jun25'!J40</f>
        <v/>
      </c>
      <c r="E41" s="1">
        <f>SUM(B41:D41)</f>
        <v/>
      </c>
      <c r="F41" s="1" t="n"/>
      <c r="G41" s="1">
        <f>IFERROR(VLOOKUP('Apr-Jun25PjtMHShortfall'!A41,'Apr25'!$A$5:$L$36,11,FALSE),0)</f>
        <v/>
      </c>
      <c r="H41" s="1">
        <f>IFERROR(VLOOKUP('Apr-Jun25PjtMHShortfall'!A41,'May25'!$A$4:$L$36,11,FALSE),0)</f>
        <v/>
      </c>
      <c r="I41" s="1" t="n">
        <v>2</v>
      </c>
      <c r="K41" s="28">
        <f>E41-G41-H41-I41</f>
        <v/>
      </c>
    </row>
    <row r="42" hidden="1" s="125">
      <c r="A42" s="1" t="inlineStr">
        <is>
          <t>C007</t>
        </is>
      </c>
      <c r="B42" s="1">
        <f>IFERROR(VLOOKUP('Apr-Jun25PjtMHShortfall'!A42,'Apr25'!$A$5:$L$36,10,FALSE),0)</f>
        <v/>
      </c>
      <c r="C42" s="1" t="n">
        <v>0</v>
      </c>
      <c r="D42" s="1">
        <f>'Jun25'!J41</f>
        <v/>
      </c>
      <c r="E42" s="1">
        <f>SUM(B42:D42)</f>
        <v/>
      </c>
      <c r="F42" s="1" t="n"/>
      <c r="G42" s="1">
        <f>IFERROR(VLOOKUP('Apr-Jun25PjtMHShortfall'!A42,'Apr25'!$A$5:$L$36,11,FALSE),0)</f>
        <v/>
      </c>
      <c r="H42" s="1">
        <f>IFERROR(VLOOKUP('Apr-Jun25PjtMHShortfall'!A42,'May25'!$A$4:$L$36,11,FALSE),0)</f>
        <v/>
      </c>
      <c r="I42" s="1">
        <f>IFERROR(VLOOKUP('Apr-Jun25PjtMHShortfall'!A42,'Jun25'!$A$5:$L$41,11,FALSE),0)</f>
        <v/>
      </c>
      <c r="K42" s="28">
        <f>E42-G42-H42-I42</f>
        <v/>
      </c>
    </row>
    <row r="43" hidden="1" s="125">
      <c r="A43" s="1">
        <f>'Jun25'!A42</f>
        <v/>
      </c>
      <c r="B43" s="1" t="n"/>
      <c r="C43" s="1" t="n"/>
      <c r="D43" s="1">
        <f>'Jun25'!J42</f>
        <v/>
      </c>
      <c r="E43" s="1">
        <f>SUM(B43:D43)</f>
        <v/>
      </c>
      <c r="F43" s="1" t="n"/>
      <c r="G43" s="1">
        <f>IFERROR(VLOOKUP('Apr-Jun25PjtMHShortfall'!A43,'Apr25'!$A$5:$L$36,11,FALSE),0)</f>
        <v/>
      </c>
      <c r="H43" s="1">
        <f>IFERROR(VLOOKUP('Apr-Jun25PjtMHShortfall'!A43,'May25'!$A$4:$L$36,11,FALSE),0)</f>
        <v/>
      </c>
      <c r="I43" s="1">
        <f>IFERROR(VLOOKUP('Apr-Jun25PjtMHShortfall'!A43,'Jun25'!$A$5:$L$42,11,FALSE),0)</f>
        <v/>
      </c>
      <c r="K43" s="28">
        <f>E43-G43-H43-I43</f>
        <v/>
      </c>
    </row>
    <row r="44">
      <c r="P44" t="inlineStr">
        <is>
          <t xml:space="preserve"> </t>
        </is>
      </c>
    </row>
    <row r="45">
      <c r="A45" t="inlineStr">
        <is>
          <t>Total:</t>
        </is>
      </c>
      <c r="E45" s="122">
        <f>SUM(E5:E43)</f>
        <v/>
      </c>
      <c r="K45" s="83">
        <f>SUM(K5:K43)</f>
        <v/>
      </c>
    </row>
  </sheetData>
  <autoFilter ref="A3:K43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mergeCells count="1">
    <mergeCell ref="M3:O3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9"/>
  <sheetViews>
    <sheetView topLeftCell="A17" zoomScale="85" zoomScaleNormal="85" workbookViewId="0">
      <selection activeCell="G17" sqref="G17"/>
    </sheetView>
  </sheetViews>
  <sheetFormatPr baseColWidth="8" defaultRowHeight="14.5"/>
  <cols>
    <col width="12.453125" customWidth="1" style="4" min="1" max="1"/>
    <col width="10.54296875" customWidth="1" style="125" min="2" max="2"/>
    <col width="17.08984375" customWidth="1" style="125" min="9" max="9"/>
    <col width="15" customWidth="1" style="125" min="13" max="15"/>
  </cols>
  <sheetData>
    <row r="1">
      <c r="A1" s="118" t="inlineStr">
        <is>
          <t>Consolidated man hour requirement  for Jul'25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>
      <c r="A2" s="52">
        <f>(23*8*6)</f>
        <v/>
      </c>
      <c r="B2" s="111" t="n"/>
      <c r="C2" s="111" t="n"/>
      <c r="D2" s="111" t="n"/>
      <c r="E2" s="111" t="n"/>
      <c r="F2" s="111" t="n"/>
      <c r="G2" s="111" t="n"/>
      <c r="H2" s="111" t="n"/>
      <c r="I2" s="112" t="n"/>
      <c r="J2" s="1" t="n"/>
      <c r="K2" s="111" t="n"/>
      <c r="L2" s="111" t="n"/>
      <c r="M2" s="112" t="n"/>
    </row>
    <row r="3" ht="41.25" customHeight="1" s="125">
      <c r="A3" s="3" t="inlineStr">
        <is>
          <t>Job No</t>
        </is>
      </c>
      <c r="B3" s="3" t="inlineStr">
        <is>
          <t>No. of orders</t>
        </is>
      </c>
      <c r="C3" s="3" t="inlineStr">
        <is>
          <t>Exp.</t>
        </is>
      </c>
      <c r="D3" s="3" t="inlineStr">
        <is>
          <t>Inspn</t>
        </is>
      </c>
      <c r="E3" s="9" t="inlineStr">
        <is>
          <t>Others</t>
        </is>
      </c>
      <c r="F3" s="3" t="inlineStr">
        <is>
          <t>Total</t>
        </is>
      </c>
      <c r="G3" s="1" t="inlineStr">
        <is>
          <t>*Others/ Remarks</t>
        </is>
      </c>
      <c r="H3" s="111" t="n"/>
      <c r="I3" s="112" t="n"/>
      <c r="J3" s="110" t="inlineStr">
        <is>
          <t>Insp/ Project Coordinators</t>
        </is>
      </c>
      <c r="K3" s="111" t="n"/>
      <c r="L3" s="111" t="n"/>
      <c r="M3" s="112" t="n"/>
      <c r="N3" s="2" t="inlineStr">
        <is>
          <t xml:space="preserve">MH available as on </t>
        </is>
      </c>
      <c r="O3" s="5" t="inlineStr">
        <is>
          <t>MH to be released for Jul'25</t>
        </is>
      </c>
      <c r="P3" t="inlineStr">
        <is>
          <t>Allotted</t>
        </is>
      </c>
      <c r="Q3" t="inlineStr">
        <is>
          <t>8518 reqd</t>
        </is>
      </c>
    </row>
    <row r="4" ht="51.5" customHeight="1" s="125">
      <c r="A4" s="3" t="n">
        <v>4994</v>
      </c>
      <c r="B4" s="3" t="n">
        <v>6</v>
      </c>
      <c r="C4" s="3" t="n"/>
      <c r="D4" s="3" t="n"/>
      <c r="E4" s="9">
        <f>8*B4</f>
        <v/>
      </c>
      <c r="F4" s="3">
        <f>SUM(C4:E4)</f>
        <v/>
      </c>
      <c r="G4" s="62" t="inlineStr">
        <is>
          <t>Enl:Nidec-(16h);Reval:Jindal Saw,Uniabex,Dynafluid,IL(32h)-48h rel on 19/9</t>
        </is>
      </c>
      <c r="H4" s="63" t="n"/>
      <c r="I4" s="64" t="n"/>
      <c r="J4" s="110" t="inlineStr">
        <is>
          <t>Rajesh Sinha</t>
        </is>
      </c>
      <c r="K4" s="111" t="n"/>
      <c r="L4" s="111" t="n"/>
      <c r="M4" s="112" t="n"/>
      <c r="N4" s="3" t="n">
        <v>0</v>
      </c>
      <c r="O4" s="3" t="n">
        <v>32</v>
      </c>
      <c r="P4" t="n">
        <v>0</v>
      </c>
      <c r="Q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11/7[4326];48h rel on 19/9</t>
        </is>
      </c>
    </row>
    <row r="5" ht="46" customHeight="1" s="125">
      <c r="A5" s="3" t="n">
        <v>6979</v>
      </c>
      <c r="B5" s="3" t="n"/>
      <c r="C5" s="3" t="n"/>
      <c r="D5" s="3" t="n"/>
      <c r="E5" s="9" t="n"/>
      <c r="F5" s="3" t="n">
        <v>0</v>
      </c>
      <c r="G5" s="56" t="n"/>
      <c r="H5" s="56" t="n"/>
      <c r="I5" s="56" t="n"/>
      <c r="J5" s="110" t="n"/>
      <c r="K5" s="111" t="n"/>
      <c r="L5" s="111" t="n"/>
      <c r="M5" s="112" t="n"/>
      <c r="N5" s="3" t="n"/>
      <c r="O5" s="3" t="n"/>
      <c r="Q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>
        <v>0</v>
      </c>
      <c r="E6" s="9">
        <f>8*0</f>
        <v/>
      </c>
      <c r="F6" s="3">
        <f>SUM(C6:E6)</f>
        <v/>
      </c>
      <c r="G6" s="62" t="n"/>
      <c r="H6" s="63" t="n"/>
      <c r="I6" s="64" t="n"/>
      <c r="J6" s="110" t="inlineStr">
        <is>
          <t>Sanjeev Kumar/ Yatendra Agrawal - EIB Renovation</t>
        </is>
      </c>
      <c r="K6" s="111" t="n"/>
      <c r="L6" s="111" t="n"/>
      <c r="M6" s="112" t="n"/>
      <c r="N6" s="3" t="n"/>
      <c r="O6" s="3" t="n"/>
      <c r="P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>
        <v>0</v>
      </c>
      <c r="D7" s="3" t="n">
        <v>0</v>
      </c>
      <c r="E7" s="9" t="n"/>
      <c r="F7" s="3" t="n">
        <v>200</v>
      </c>
      <c r="G7" s="62" t="inlineStr">
        <is>
          <t>Admin works,Insp Guidelines/Typ Test review/ITP revision(E&amp;I ITPS)/Std. Spec review-mtgs with Inst. Engg. on Cryo Test Procedure &amp; Flow Meter MR improvements,other miscellaneous works incl. Dept Mktg leads (visit to HPCL GRDC with BEL &amp; IIM Bluru),Intl. Audit (17,18/7); Hosp Nomination;All Mech ITPs, Mag/Vortex/Mass FM ITPs,QM,KM;600h rel on 25/7[19998]</t>
        </is>
      </c>
      <c r="H7" s="63" t="n"/>
      <c r="I7" s="64" t="n"/>
      <c r="J7" s="110" t="inlineStr">
        <is>
          <t xml:space="preserve"> Tech Develop &amp; OH</t>
        </is>
      </c>
      <c r="K7" s="111" t="n"/>
      <c r="L7" s="111" t="n"/>
      <c r="M7" s="112" t="n"/>
      <c r="N7" s="3" t="n">
        <v>300</v>
      </c>
      <c r="O7" s="3" t="n"/>
      <c r="Q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</t>
        </is>
      </c>
    </row>
    <row r="8" ht="123" customHeight="1" s="125">
      <c r="A8" s="3" t="n">
        <v>8590</v>
      </c>
      <c r="B8" s="3" t="n"/>
      <c r="C8" s="3" t="n"/>
      <c r="D8" s="3" t="n">
        <v>0</v>
      </c>
      <c r="E8" s="9" t="n"/>
      <c r="F8" s="3">
        <f>SUM(C8:E8)</f>
        <v/>
      </c>
      <c r="G8" s="56" t="n"/>
      <c r="H8" s="60" t="n"/>
      <c r="I8" s="61" t="n"/>
      <c r="J8" s="110" t="n"/>
      <c r="K8" s="111" t="n"/>
      <c r="L8" s="111" t="n"/>
      <c r="M8" s="112" t="n"/>
      <c r="N8" s="3" t="n"/>
      <c r="O8" s="3" t="n"/>
    </row>
    <row r="9" ht="41.25" customHeight="1" s="125">
      <c r="A9" s="3" t="inlineStr">
        <is>
          <t>B016</t>
        </is>
      </c>
      <c r="B9" s="3" t="n">
        <v>0</v>
      </c>
      <c r="C9" s="3" t="n">
        <v>0</v>
      </c>
      <c r="D9" s="3" t="n"/>
      <c r="E9" s="9" t="n">
        <v>0</v>
      </c>
      <c r="F9" s="3" t="n">
        <v>0</v>
      </c>
      <c r="G9" s="57" t="inlineStr">
        <is>
          <t xml:space="preserve"> </t>
        </is>
      </c>
      <c r="H9" s="58" t="inlineStr">
        <is>
          <t xml:space="preserve"> </t>
        </is>
      </c>
      <c r="I9" s="59" t="inlineStr">
        <is>
          <t xml:space="preserve"> </t>
        </is>
      </c>
      <c r="J9" s="110" t="inlineStr">
        <is>
          <t>Uday Pratap Singh/Pankaj Saxena/Alok Singh</t>
        </is>
      </c>
      <c r="K9" s="111" t="n"/>
      <c r="L9" s="111" t="n"/>
      <c r="M9" s="112" t="n"/>
      <c r="N9" s="2" t="n"/>
      <c r="O9" s="5" t="n"/>
      <c r="Q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1</v>
      </c>
      <c r="C10" s="3">
        <f>1*8</f>
        <v/>
      </c>
      <c r="D10" s="3" t="n">
        <v>0</v>
      </c>
      <c r="E10" s="12" t="n">
        <v>0</v>
      </c>
      <c r="F10" s="3">
        <f>C10+D10+E10</f>
        <v/>
      </c>
      <c r="G10" s="126" t="inlineStr">
        <is>
          <t>Expediting - Greensol;</t>
        </is>
      </c>
      <c r="H10" s="111" t="n"/>
      <c r="I10" s="112" t="n"/>
      <c r="J10" s="110" t="inlineStr">
        <is>
          <t>Saeed Akhtar/ D Jana</t>
        </is>
      </c>
      <c r="K10" s="111" t="n"/>
      <c r="L10" s="111" t="n"/>
      <c r="M10" s="112" t="n"/>
      <c r="N10" s="3" t="n">
        <v>0</v>
      </c>
      <c r="O10" s="3">
        <f>F10-N10</f>
        <v/>
      </c>
      <c r="P10" t="inlineStr">
        <is>
          <t xml:space="preserve"> </t>
        </is>
      </c>
      <c r="Q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>
        <f>2*B11</f>
        <v/>
      </c>
      <c r="D11" s="3" t="n">
        <v>0</v>
      </c>
      <c r="E11" s="9" t="n">
        <v>0</v>
      </c>
      <c r="F11" s="3">
        <f>C11+D11+E11</f>
        <v/>
      </c>
      <c r="G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H11" s="111" t="n"/>
      <c r="I11" s="112" t="n"/>
      <c r="J11" s="110" t="inlineStr">
        <is>
          <t>Himanghsu Pal/Sanjeev Kumar/Aasheesh Handa</t>
        </is>
      </c>
      <c r="K11" s="111" t="n"/>
      <c r="L11" s="111" t="n"/>
      <c r="M11" s="112" t="n"/>
      <c r="N11" s="3" t="n">
        <v>0</v>
      </c>
      <c r="O11" s="3">
        <f>F11-N11</f>
        <v/>
      </c>
      <c r="Q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1</v>
      </c>
      <c r="C12" s="3" t="n">
        <v>0</v>
      </c>
      <c r="D12" s="3" t="n"/>
      <c r="E12" s="9" t="n"/>
      <c r="F12" s="3" t="n">
        <v>0</v>
      </c>
      <c r="G12" s="56" t="inlineStr">
        <is>
          <t xml:space="preserve"> </t>
        </is>
      </c>
      <c r="H12" s="60" t="n"/>
      <c r="I12" s="61" t="n"/>
      <c r="J12" s="110" t="inlineStr">
        <is>
          <t>Patra/Sanjay Dhuria</t>
        </is>
      </c>
      <c r="K12" s="111" t="n"/>
      <c r="L12" s="111" t="n"/>
      <c r="M12" s="112" t="n"/>
      <c r="N12" s="3" t="n"/>
      <c r="O12" s="3" t="n"/>
      <c r="Q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inlineStr">
        <is>
          <t xml:space="preserve"> </t>
        </is>
      </c>
      <c r="D13" s="3" t="inlineStr">
        <is>
          <t xml:space="preserve"> </t>
        </is>
      </c>
      <c r="E13" s="9" t="n"/>
      <c r="F13" s="3">
        <f>8*34</f>
        <v/>
      </c>
      <c r="G13" s="62" t="inlineStr">
        <is>
          <t>Insp: Siemens/TDPS -48MW Alternator-30,31/7(2d);YIL/SRU ESD FAT-17 to 19/7(3d);DCS-Aux Cons-11,27/7(2d);DMW/Tmeic-Drives-7-9/2(3d);Godrej B/Ds-21-23,27/7(4d);Emerson/FCRI-21,22,23/7(3d);KSBMIL-Control Valves-10,24,31/7(3d); Anal-26/6(1d);Afcons/Microfinish-28,20/7(2d);MK Engrs-Panels-14/7(1d);Doc Rev: YIL-SRU-DCS-9/7(1d);MEIL-SLLDPE/PPU/Pkg9/Pkg10, Elec &amp; Inst. QAPs(28nos)-7,8,9,10,14,15,16,22,23,31/7-(8.5d) - 256mh rel on 3/10[6554]</t>
        </is>
      </c>
      <c r="H13" s="63" t="n"/>
      <c r="I13" s="64" t="n"/>
      <c r="J13" s="110" t="inlineStr">
        <is>
          <t>Mr Dipak Panchal / Mr Sunil Saurabh/ Mr R.K.Mohabe/Neena Mukherjee</t>
        </is>
      </c>
      <c r="K13" s="111" t="n"/>
      <c r="L13" s="111" t="n"/>
      <c r="M13" s="112" t="n"/>
      <c r="N13" s="3" t="n">
        <v>0</v>
      </c>
      <c r="O13" s="3" t="n">
        <v>56</v>
      </c>
      <c r="Q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>
        <f>2*B14</f>
        <v/>
      </c>
      <c r="D14" s="3" t="n"/>
      <c r="E14" s="9" t="n">
        <v>0</v>
      </c>
      <c r="F14" s="3">
        <f>SUM(C14:E14)</f>
        <v/>
      </c>
      <c r="G14" s="62" t="n"/>
      <c r="H14" s="63" t="n"/>
      <c r="I14" s="64" t="n"/>
      <c r="J14" s="110" t="inlineStr">
        <is>
          <t>Patra/JPS Kalra/DK Kesri</t>
        </is>
      </c>
      <c r="K14" s="111" t="n"/>
      <c r="L14" s="111" t="n"/>
      <c r="M14" s="112" t="n"/>
      <c r="N14" s="3" t="n"/>
      <c r="O14" s="3" t="n"/>
      <c r="Q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18</v>
      </c>
      <c r="C15" s="3">
        <f>2*B15+4*2</f>
        <v/>
      </c>
      <c r="D15" s="3">
        <f>8*3</f>
        <v/>
      </c>
      <c r="E15" s="9">
        <f>8*3.5</f>
        <v/>
      </c>
      <c r="F15" s="3">
        <f>SUM(C15:E15)</f>
        <v/>
      </c>
      <c r="G15" s="62" t="inlineStr">
        <is>
          <t>13 running orders+ 4Orders FD sub expediting+1OCS; Critical Item Insp - YIL- U&amp;O FAT- 4d (1-7,30/8); for expediting rectification/replacement of valves recd.frm site;VC with BDK -1/wk(2d);;44h rel on 21/8[1700]</t>
        </is>
      </c>
      <c r="H15" s="63" t="n"/>
      <c r="I15" s="64" t="n"/>
      <c r="J15" s="110" t="inlineStr">
        <is>
          <t>Chandrashekhar/Rajesh Bhatla/Arun Singh Arya/Sanjay Chaudhary</t>
        </is>
      </c>
      <c r="K15" s="111" t="n"/>
      <c r="L15" s="111" t="n"/>
      <c r="M15" s="112" t="n"/>
      <c r="N15" s="3" t="n">
        <v>0</v>
      </c>
      <c r="O15" s="3" t="n"/>
      <c r="Q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11/7[1656];44mh rel.on 21/8[1700]</t>
        </is>
      </c>
    </row>
    <row r="16" ht="51.5" customHeight="1" s="125">
      <c r="A16" s="10" t="inlineStr">
        <is>
          <t>B285</t>
        </is>
      </c>
      <c r="B16" s="3" t="n"/>
      <c r="C16" s="3" t="n"/>
      <c r="D16" s="3" t="n"/>
      <c r="E16" s="9" t="n"/>
      <c r="F16" s="3" t="n">
        <v>0</v>
      </c>
      <c r="G16" s="56" t="inlineStr">
        <is>
          <t xml:space="preserve"> </t>
        </is>
      </c>
      <c r="H16" s="60" t="n"/>
      <c r="I16" s="61" t="n"/>
      <c r="J16" s="110" t="inlineStr">
        <is>
          <t>Sanjeev Kumar/Vikalp Paliwal</t>
        </is>
      </c>
      <c r="K16" s="111" t="n"/>
      <c r="L16" s="111" t="n"/>
      <c r="M16" s="112" t="n"/>
      <c r="N16" s="3" t="n"/>
      <c r="O16" s="3" t="n"/>
    </row>
    <row r="17" ht="112" customHeight="1" s="125">
      <c r="A17" s="10" t="inlineStr">
        <is>
          <t>B297</t>
        </is>
      </c>
      <c r="B17" s="3" t="n">
        <v>5</v>
      </c>
      <c r="C17" s="3">
        <f>2*B17+4</f>
        <v/>
      </c>
      <c r="D17" s="3">
        <f>8*1</f>
        <v/>
      </c>
      <c r="E17" s="9">
        <f>8*0.5</f>
        <v/>
      </c>
      <c r="F17" s="3">
        <f>SUM(C17:E17)</f>
        <v/>
      </c>
      <c r="G17" s="62" t="inlineStr">
        <is>
          <t>Exp-5 ord-1 runn ord, 4-FD sub exp Insp: PO 160-YIL-23/7(1d) -8h rel on 12/9 [973]</t>
        </is>
      </c>
      <c r="H17" s="63" t="n"/>
      <c r="I17" s="64" t="n"/>
      <c r="J17" s="110" t="inlineStr">
        <is>
          <t>Chandrashekar/NS Vasudev/Manish Tiwari - GAIL Pata</t>
        </is>
      </c>
      <c r="K17" s="111" t="n"/>
      <c r="L17" s="111" t="n"/>
      <c r="M17" s="112" t="n"/>
      <c r="N17" s="3" t="n">
        <v>10</v>
      </c>
      <c r="O17" s="3" t="n"/>
      <c r="Q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4</v>
      </c>
      <c r="C18" s="3">
        <f>2*4+4*2</f>
        <v/>
      </c>
      <c r="D18" s="3">
        <f>8*7</f>
        <v/>
      </c>
      <c r="E18" s="9">
        <f>8*0.5</f>
        <v/>
      </c>
      <c r="F18" s="3">
        <f>SUM(C18:E18)</f>
        <v/>
      </c>
      <c r="G18" s="62" t="inlineStr">
        <is>
          <t>4 Running orders ; 6873-KEPL/TMEIC-Drives insp-18-21,28/8(4d);Fluidyne/Auma -26/8(1d);Doc rev: 103-PLC QAP rev -30/8(0.5d);</t>
        </is>
      </c>
      <c r="H18" s="63" t="n"/>
      <c r="I18" s="64" t="n"/>
      <c r="J18" s="110" t="inlineStr">
        <is>
          <t>Suresh/D Jana(302-1)/Sivakumar(302-2)/Abhishek Rai/Balbir Singh (01-P/L &amp; 02- COT) - pump order - 02; FOA also to incl. Unit no for correlation</t>
        </is>
      </c>
      <c r="K18" s="111" t="n"/>
      <c r="L18" s="111" t="n"/>
      <c r="M18" s="112" t="n"/>
      <c r="N18" s="3" t="n"/>
      <c r="O18" s="3" t="n"/>
      <c r="Q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12</v>
      </c>
      <c r="C19" s="3">
        <f>2*B19+2*2</f>
        <v/>
      </c>
      <c r="D19" s="3" t="n">
        <v>0</v>
      </c>
      <c r="E19" s="9" t="n">
        <v>0</v>
      </c>
      <c r="F19" s="3">
        <f>SUM(C19:E19)</f>
        <v/>
      </c>
      <c r="G19" s="62" t="inlineStr">
        <is>
          <t>12 orders incl. 5 FD exp.-12h rel on 25/8[206]</t>
        </is>
      </c>
      <c r="H19" s="62" t="n"/>
      <c r="I19" s="62" t="n"/>
      <c r="J19" s="110" t="inlineStr">
        <is>
          <t>Himangshu/Sanjeev Kumar/Lavish/HarshVardhan</t>
        </is>
      </c>
      <c r="K19" s="111" t="n"/>
      <c r="L19" s="111" t="n"/>
      <c r="M19" s="112" t="n"/>
      <c r="N19" s="3" t="n">
        <v>1</v>
      </c>
      <c r="O19" s="3" t="n"/>
      <c r="Q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15/4[162];10h rel on 23/7[194]</t>
        </is>
      </c>
    </row>
    <row r="20" ht="83.5" customHeight="1" s="125">
      <c r="A20" s="3" t="inlineStr">
        <is>
          <t>B359</t>
        </is>
      </c>
      <c r="B20" s="3" t="n"/>
      <c r="C20" s="3" t="n"/>
      <c r="D20" s="3" t="n">
        <v>0</v>
      </c>
      <c r="E20" s="9" t="n">
        <v>0</v>
      </c>
      <c r="F20" s="3">
        <f>SUM(C20:E20)</f>
        <v/>
      </c>
      <c r="G20" s="62" t="inlineStr">
        <is>
          <t xml:space="preserve"> </t>
        </is>
      </c>
      <c r="H20" s="62" t="n"/>
      <c r="I20" s="62" t="n"/>
      <c r="J20" s="110" t="inlineStr">
        <is>
          <t>Chandrashekhar/Sumanta Mondal/Abhishek/Sarvesh Kumar</t>
        </is>
      </c>
      <c r="K20" s="111" t="n"/>
      <c r="L20" s="111" t="n"/>
      <c r="M20" s="112" t="n"/>
      <c r="N20" s="3" t="n"/>
      <c r="O20" s="3" t="n"/>
      <c r="Q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s="3" t="n">
        <v>21</v>
      </c>
      <c r="C21" s="3">
        <f>2*B21+2*4</f>
        <v/>
      </c>
      <c r="D21" s="3">
        <f>8*8.5</f>
        <v/>
      </c>
      <c r="E21" s="9">
        <f>8*2.5</f>
        <v/>
      </c>
      <c r="F21" s="3">
        <f>SUM(C21:E21)</f>
        <v/>
      </c>
      <c r="G21" s="62" t="inlineStr">
        <is>
          <t>21 ord Expediting(incl  11ord FD sub exp)+3OCS; Inspn: YIL(Analyser- 620/539-24,25,28/7 (3d); 639-PDH Raw Matl Id -8/7(1d);ABB-618-Analyser 28,29 (2d);Cybersec doc rev/IRN-3/7(0.5d); Anal-Compl. rev-15/7(1d);Kalpa-RVT-24/7(1d);Paramount/C&amp;S-Doc rev/IRN end-14,28/7(1d);Meeting/rev. of Cryo Test procedure &amp; expediting of o/s issues(1d)-138 mh rel on 25/8[4666)</t>
        </is>
      </c>
      <c r="H21" s="62" t="n"/>
      <c r="I21" s="62" t="n"/>
      <c r="J21" s="110" t="inlineStr">
        <is>
          <t>Chandrashekhar/Sumanta Mondal/Ajay Gupta/Rajeev Kr Khandelwal/Prakash Jagarwal/Deepak Dinkar -GAIL Usar</t>
        </is>
      </c>
      <c r="K21" s="111" t="n"/>
      <c r="L21" s="111" t="n"/>
      <c r="M21" s="112" t="n"/>
      <c r="N21" s="3" t="n">
        <v>0</v>
      </c>
      <c r="O21" s="3" t="n"/>
      <c r="Q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16/6[4328];;200h rel on 23/7/25[4528]</t>
        </is>
      </c>
    </row>
    <row r="22" ht="83.5" customHeight="1" s="125">
      <c r="A22" s="10" t="inlineStr">
        <is>
          <t>B414</t>
        </is>
      </c>
      <c r="B22" s="3" t="n">
        <v>4</v>
      </c>
      <c r="C22" s="3">
        <f>2*B22+1*4</f>
        <v/>
      </c>
      <c r="D22" s="3">
        <f>8*3</f>
        <v/>
      </c>
      <c r="E22" s="9" t="n">
        <v>0</v>
      </c>
      <c r="F22" s="3">
        <f>SUM(C22:E22)</f>
        <v/>
      </c>
      <c r="G22" s="62" t="inlineStr">
        <is>
          <t>4 orders ( incl. 3 FD expediting); Insp: PO 62-HBL Batteries-2,3/7(2d);Pace process/Universal Capac.pkg  QAP appls.-3 nos (1.5d);</t>
        </is>
      </c>
      <c r="H22" s="62" t="n"/>
      <c r="I22" s="62" t="n"/>
      <c r="J22" s="110" t="inlineStr">
        <is>
          <t>Himangshu Pal/ Shnaoli Nath</t>
        </is>
      </c>
      <c r="K22" s="111" t="n"/>
      <c r="L22" s="111" t="n"/>
      <c r="M22" s="112" t="n"/>
      <c r="N22" s="3" t="n"/>
      <c r="O22" s="3" t="n"/>
      <c r="Q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3" ht="83.5" customHeight="1" s="125">
      <c r="A23" s="10" t="inlineStr">
        <is>
          <t>B436</t>
        </is>
      </c>
      <c r="B23" s="3" t="n">
        <v>1</v>
      </c>
      <c r="C23" s="3" t="n">
        <v>2</v>
      </c>
      <c r="D23" s="3" t="n">
        <v>0</v>
      </c>
      <c r="E23" s="9" t="n">
        <v>0</v>
      </c>
      <c r="F23" s="3">
        <f>SUM(C23:E23)</f>
        <v/>
      </c>
      <c r="G23" s="62" t="inlineStr">
        <is>
          <t xml:space="preserve">SCADA order on ABB </t>
        </is>
      </c>
      <c r="H23" s="62" t="n"/>
      <c r="I23" s="62" t="n"/>
      <c r="J23" s="110" t="inlineStr">
        <is>
          <t>T Ravi/Sangram Mishra/NS Vasudev</t>
        </is>
      </c>
      <c r="K23" s="111" t="n"/>
      <c r="L23" s="111" t="n"/>
      <c r="M23" s="112" t="n"/>
      <c r="N23" s="3" t="n"/>
      <c r="O23" s="3" t="n"/>
      <c r="P23" t="inlineStr">
        <is>
          <t>10h rel on 22/5;26h rel on 12/10[38]</t>
        </is>
      </c>
    </row>
    <row r="24" ht="121.5" customHeight="1" s="125">
      <c r="A24" s="10" t="inlineStr">
        <is>
          <t>B440</t>
        </is>
      </c>
      <c r="B24" s="3" t="n">
        <v>16</v>
      </c>
      <c r="C24" s="3">
        <f>2*B24 + 1*4</f>
        <v/>
      </c>
      <c r="D24" s="3">
        <f>8*1</f>
        <v/>
      </c>
      <c r="E24" s="9" t="n">
        <v>0</v>
      </c>
      <c r="F24" s="3">
        <f>SUM(C24:E24)</f>
        <v/>
      </c>
      <c r="G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</t>
        </is>
      </c>
      <c r="H24" s="62" t="n"/>
      <c r="I24" s="62" t="n"/>
      <c r="J24" s="110" t="inlineStr">
        <is>
          <t>Himangshu Pal/Sanjeev Kumar/Ayush Mathur/Shivaji/VVR Murthy</t>
        </is>
      </c>
      <c r="K24" s="111" t="n"/>
      <c r="L24" s="111" t="n"/>
      <c r="M24" s="112" t="n"/>
      <c r="N24" s="3" t="n"/>
      <c r="O24" s="3" t="n"/>
      <c r="P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5" ht="83.5" customHeight="1" s="125">
      <c r="A25" s="10" t="inlineStr">
        <is>
          <t>B448</t>
        </is>
      </c>
      <c r="B25" s="3" t="n">
        <v>1</v>
      </c>
      <c r="C25" s="3" t="n">
        <v>0</v>
      </c>
      <c r="D25" s="3" t="n">
        <v>8</v>
      </c>
      <c r="E25" s="9">
        <f>8*2.5</f>
        <v/>
      </c>
      <c r="F25" s="3">
        <f>SUM(C25:E25)</f>
        <v/>
      </c>
      <c r="G25" s="62" t="inlineStr">
        <is>
          <t xml:space="preserve"> Insp. &amp; exp. Of Direct ordered items; For LSTK, insp@ payment on manday item rate;resolution of queries on insp from bid till compln. Of pjt;expediting, if reqd. by Owner - ABB-Plant Automation- Inspection: Consoles - 28/7(1d); Doc Rev: Telephone Booth - Baliga-Doc rev/IRN endors(1/7);Emerson Mass FM QAP rev(8/7);Control Valves qAP rev(10/7);Metering Skid WPS/PQR rev(11/7);28h for Jun&amp;Jul rel on 2/9[280]</t>
        </is>
      </c>
      <c r="H25" s="62" t="n"/>
      <c r="I25" s="62" t="n"/>
      <c r="J25" s="110" t="inlineStr">
        <is>
          <t>Himangshu Pal/Sanjeev Kumar/UK Mishra/RK Medhavi</t>
        </is>
      </c>
      <c r="K25" s="111" t="n"/>
      <c r="L25" s="111" t="n"/>
      <c r="M25" s="112" t="n"/>
      <c r="N25" s="3" t="n"/>
      <c r="O25" s="3" t="n"/>
      <c r="Q25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6" ht="83.5" customHeight="1" s="125">
      <c r="A26" s="3" t="inlineStr">
        <is>
          <t>B519</t>
        </is>
      </c>
      <c r="B26" s="3" t="n">
        <v>4</v>
      </c>
      <c r="C26" s="3">
        <f>2*B26+1*4</f>
        <v/>
      </c>
      <c r="D26" s="3">
        <f>8*1</f>
        <v/>
      </c>
      <c r="E26" s="9" t="n">
        <v>0</v>
      </c>
      <c r="F26" s="3">
        <f>SUM(C26:E26)</f>
        <v/>
      </c>
      <c r="G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</t>
        </is>
      </c>
      <c r="H26" s="62" t="n"/>
      <c r="I26" s="62" t="n"/>
      <c r="J26" s="110" t="inlineStr">
        <is>
          <t>Chandrashekhar/HarshVardan/Prakash Jagarwal/DSNMurty</t>
        </is>
      </c>
      <c r="K26" s="111" t="n"/>
      <c r="L26" s="111" t="n"/>
      <c r="M26" s="112" t="n"/>
      <c r="N26" s="3" t="n"/>
      <c r="O26" s="3" t="n"/>
    </row>
    <row r="27" ht="83.5" customHeight="1" s="125">
      <c r="A27" s="10" t="inlineStr">
        <is>
          <t>B548</t>
        </is>
      </c>
      <c r="B27" s="3" t="n">
        <v>0</v>
      </c>
      <c r="C27" s="3" t="n">
        <v>0</v>
      </c>
      <c r="D27" s="3" t="n">
        <v>0</v>
      </c>
      <c r="E27" s="9" t="n">
        <v>0</v>
      </c>
      <c r="F27" s="3">
        <f>SUM(C27:E27)</f>
        <v/>
      </c>
      <c r="G27" s="62" t="inlineStr">
        <is>
          <t>Alleima- Exchanger - Exp+QAP comments - ITP R1- rev-6/2; Control Panel ITP rev- 7/2; FAT of TCP rev-12/2; Mtg/communications for resolution of issue w.r.t Heating Element MOC - 6,9/2; Nov: 1 OCS + Insp. - Emerson S/o on Microfinish - 27/11 &amp; 20/12</t>
        </is>
      </c>
      <c r="H27" s="62" t="n"/>
      <c r="I27" s="62" t="n"/>
      <c r="J27" s="110" t="inlineStr">
        <is>
          <t>HP/Sanjeev Kr/T Ravi/NS Vasudev/Sanjeev Kr Gupta</t>
        </is>
      </c>
      <c r="K27" s="111" t="n"/>
      <c r="L27" s="111" t="n"/>
      <c r="M27" s="112" t="n"/>
      <c r="N27" s="3" t="n"/>
      <c r="O27" s="3" t="n"/>
      <c r="P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10" t="inlineStr">
        <is>
          <t>B559</t>
        </is>
      </c>
      <c r="B28" s="3" t="n">
        <v>6</v>
      </c>
      <c r="C28" s="3">
        <f>2*B28</f>
        <v/>
      </c>
      <c r="D28" s="3" t="n">
        <v>0</v>
      </c>
      <c r="E28" s="9" t="n">
        <v>0</v>
      </c>
      <c r="F28" s="3">
        <f>SUM(C28:E28)</f>
        <v/>
      </c>
      <c r="G28" s="62" t="inlineStr">
        <is>
          <t>IOCL Biturox,Vad-Proj. Prof. uploaded on 20/3- Desk Expediting - NO OCS; 5 orders expediting (incl. 1 OCS)</t>
        </is>
      </c>
      <c r="H28" s="62" t="n"/>
      <c r="I28" s="62" t="n"/>
      <c r="J28" s="110" t="inlineStr">
        <is>
          <t xml:space="preserve">Sanjay Choudhary/SK Gayen/RK Gupta </t>
        </is>
      </c>
      <c r="K28" s="111" t="n"/>
      <c r="L28" s="111" t="n"/>
      <c r="M28" s="112" t="n"/>
      <c r="N28" s="3" t="n"/>
      <c r="O28" s="3" t="n"/>
      <c r="P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29" ht="83.5" customHeight="1" s="125">
      <c r="A29" s="3" t="inlineStr">
        <is>
          <t>B560</t>
        </is>
      </c>
      <c r="B29" s="3" t="n">
        <v>13</v>
      </c>
      <c r="C29" s="3">
        <f>2*B29</f>
        <v/>
      </c>
      <c r="D29" s="3" t="n"/>
      <c r="E29" s="9" t="n">
        <v>0</v>
      </c>
      <c r="F29" s="3">
        <f>SUM(C29:E29)</f>
        <v/>
      </c>
      <c r="G29" s="62" t="inlineStr">
        <is>
          <t xml:space="preserve">Req.from ED(I) for expediting on 15/6/24 - 13 orders (incl.1 OCS) &amp; OCS also to be made as per latest reqt.; </t>
        </is>
      </c>
      <c r="H29" s="62" t="n"/>
      <c r="I29" s="62" t="n"/>
      <c r="J29" s="110" t="inlineStr">
        <is>
          <t>Chandrashekhar/Vinod Kumar/RK Medhavi</t>
        </is>
      </c>
      <c r="K29" s="111" t="n"/>
      <c r="L29" s="111" t="n"/>
      <c r="M29" s="112" t="n"/>
      <c r="N29" s="3" t="n"/>
      <c r="O29" s="3" t="n"/>
      <c r="P29" t="inlineStr">
        <is>
          <t>100h rel on 23/4</t>
        </is>
      </c>
    </row>
    <row r="30" ht="44" customHeight="1" s="125">
      <c r="A30" s="10" t="inlineStr">
        <is>
          <t>B589</t>
        </is>
      </c>
      <c r="B30" s="3" t="n">
        <v>0</v>
      </c>
      <c r="C30" s="3" t="n">
        <v>0</v>
      </c>
      <c r="D30" s="3" t="n">
        <v>0</v>
      </c>
      <c r="E30" s="9" t="n">
        <v>0</v>
      </c>
      <c r="F30" s="3" t="n">
        <v>0</v>
      </c>
      <c r="G30" s="62" t="n"/>
      <c r="H30" s="62" t="n"/>
      <c r="I30" s="62" t="n"/>
      <c r="J30" s="110" t="inlineStr">
        <is>
          <t>Himangshu Pal/Sanjeev Kr/T Ravi/NS Vasudev/Sanjeev Kr Gupta</t>
        </is>
      </c>
      <c r="K30" s="111" t="n"/>
      <c r="L30" s="111" t="n"/>
      <c r="M30" s="112" t="n"/>
      <c r="N30" s="3" t="n"/>
      <c r="O30" s="3" t="n"/>
      <c r="P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10" t="inlineStr">
        <is>
          <t>B650</t>
        </is>
      </c>
      <c r="B31" s="3" t="n">
        <v>2</v>
      </c>
      <c r="C31" s="3">
        <f>B31*2</f>
        <v/>
      </c>
      <c r="D31" s="3" t="n"/>
      <c r="E31" s="9" t="n"/>
      <c r="F31" s="3">
        <f>SUM(C31:E31)</f>
        <v/>
      </c>
      <c r="G31" s="62" t="inlineStr">
        <is>
          <t>No scope for RPO - however, OCS to be done</t>
        </is>
      </c>
      <c r="H31" s="62" t="n"/>
      <c r="I31" s="62" t="n"/>
      <c r="J31" s="110" t="inlineStr">
        <is>
          <t>Sanjay Choudhary/Siddant Kumar</t>
        </is>
      </c>
      <c r="K31" s="111" t="n"/>
      <c r="L31" s="111" t="n"/>
      <c r="M31" s="112" t="n"/>
      <c r="N31" s="3" t="n"/>
      <c r="O31" s="3" t="n"/>
    </row>
    <row r="32" ht="83.5" customHeight="1" s="125">
      <c r="A32" s="10" t="inlineStr">
        <is>
          <t>B653</t>
        </is>
      </c>
      <c r="B32" s="3" t="n">
        <v>13</v>
      </c>
      <c r="C32" s="3">
        <f>2*B32+1*4</f>
        <v/>
      </c>
      <c r="D32" s="3" t="n"/>
      <c r="E32" s="9" t="n">
        <v>8</v>
      </c>
      <c r="F32" s="3">
        <f>SUM(C32:E32)</f>
        <v/>
      </c>
      <c r="G32" s="62" t="inlineStr">
        <is>
          <t>Expediting by RPOs as per email dtd 22/10/24, OCS by RPO as per CS mail dt 17/1; (13 running incl 3FD exp);Univ Insts -Rev. mtg &amp; Show Cause Notice issue reco. -8h</t>
        </is>
      </c>
      <c r="H32" s="62" t="n"/>
      <c r="I32" s="62" t="n"/>
      <c r="J32" s="110" t="inlineStr">
        <is>
          <t>Sanjeev Kumar/Aasheesh Handa/Amandeep Kaur</t>
        </is>
      </c>
      <c r="K32" s="111" t="n"/>
      <c r="L32" s="111" t="n"/>
      <c r="M32" s="112" t="n"/>
      <c r="N32" s="3" t="n"/>
      <c r="O32" s="3" t="n"/>
      <c r="P32" t="inlineStr">
        <is>
          <t>40h rel on 9/4/24 [40]</t>
        </is>
      </c>
    </row>
    <row r="33" ht="83.5" customHeight="1" s="125">
      <c r="A33" s="3" t="inlineStr">
        <is>
          <t>B725</t>
        </is>
      </c>
      <c r="B33" s="3" t="n">
        <v>4</v>
      </c>
      <c r="C33" s="3" t="n"/>
      <c r="D33" s="3" t="n">
        <v>0</v>
      </c>
      <c r="E33" s="9" t="n">
        <v>0</v>
      </c>
      <c r="F33" s="3">
        <f>SUM(C33:E33)</f>
        <v/>
      </c>
      <c r="G33" s="62" t="inlineStr">
        <is>
          <t xml:space="preserve">No expediting; </t>
        </is>
      </c>
      <c r="H33" s="62" t="n"/>
      <c r="I33" s="62" t="n"/>
      <c r="J33" s="110" t="inlineStr">
        <is>
          <t>Himangshu/Sanjeev Kumar- Scope: Rev. of ITP,Insp Docs &amp; FD</t>
        </is>
      </c>
      <c r="K33" s="111" t="n"/>
      <c r="L33" s="111" t="n"/>
      <c r="M33" s="112" t="n"/>
      <c r="N33" s="3" t="n"/>
      <c r="O33" s="3" t="n"/>
      <c r="P33" t="inlineStr">
        <is>
          <t>4h sought by BT on 27/5 to Sanjeev Kr</t>
        </is>
      </c>
    </row>
    <row r="34" ht="83.5" customHeight="1" s="125">
      <c r="A34" s="3" t="inlineStr">
        <is>
          <t>B767</t>
        </is>
      </c>
      <c r="B34" s="3" t="n"/>
      <c r="C34" s="3" t="n"/>
      <c r="D34" s="3" t="n">
        <v>0</v>
      </c>
      <c r="E34" s="9" t="n">
        <v>0</v>
      </c>
      <c r="F34" s="3">
        <f>SUM(C34:E34)</f>
        <v/>
      </c>
      <c r="G34" s="62" t="inlineStr">
        <is>
          <t xml:space="preserve"> </t>
        </is>
      </c>
      <c r="H34" s="62" t="n"/>
      <c r="I34" s="62" t="n"/>
      <c r="J34" s="110" t="inlineStr">
        <is>
          <t>Himangshu Pal/Vikalp Paliwal/Balakumar</t>
        </is>
      </c>
      <c r="K34" s="111" t="n"/>
      <c r="L34" s="111" t="n"/>
      <c r="M34" s="112" t="n"/>
      <c r="N34" s="3" t="n"/>
      <c r="O34" s="3" t="n"/>
      <c r="P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3" t="inlineStr">
        <is>
          <t>B795</t>
        </is>
      </c>
      <c r="B35" s="3" t="n">
        <v>2</v>
      </c>
      <c r="C35" s="3" t="n"/>
      <c r="D35" s="3" t="n">
        <v>0</v>
      </c>
      <c r="E35" s="9" t="n"/>
      <c r="F35" s="3">
        <f>SUM(C35:E35)</f>
        <v/>
      </c>
      <c r="G35" s="62" t="inlineStr">
        <is>
          <t xml:space="preserve">QAP appl. &amp; Insp. in EIL scope </t>
        </is>
      </c>
      <c r="H35" s="62" t="n"/>
      <c r="I35" s="62" t="n"/>
      <c r="J35" s="110" t="inlineStr">
        <is>
          <t>G Suresh/Hemant Gadasia/Tarun Bansal/Dipak Panchal</t>
        </is>
      </c>
      <c r="K35" s="111" t="n"/>
      <c r="L35" s="111" t="n"/>
      <c r="M35" s="112" t="n"/>
      <c r="N35" s="3" t="n"/>
      <c r="O35" s="3" t="n"/>
      <c r="P35" t="inlineStr">
        <is>
          <t>32h rels. On 12/9;64h on 16/1; addl 100h rel on 20/1 [276]</t>
        </is>
      </c>
    </row>
    <row r="36" ht="83.5" customHeight="1" s="125">
      <c r="A36" s="3" t="inlineStr">
        <is>
          <t>B813</t>
        </is>
      </c>
      <c r="B36" s="3" t="n">
        <v>1</v>
      </c>
      <c r="C36" s="3">
        <f>2*B36</f>
        <v/>
      </c>
      <c r="D36" s="3" t="n"/>
      <c r="E36" s="9" t="n"/>
      <c r="F36" s="3">
        <f>SUM(C36:E36)</f>
        <v/>
      </c>
      <c r="G36" s="62" t="inlineStr">
        <is>
          <t>Expedite &amp; Inspect critical items (list provided in mail dt.29/5/25) EIL on man-day reimbursable basis - 1 order on KSBMIL</t>
        </is>
      </c>
      <c r="H36" s="62" t="n"/>
      <c r="I36" s="62" t="n"/>
      <c r="J36" s="110" t="inlineStr">
        <is>
          <t>Sanjeev Kumar/Raviraj/Shivaji</t>
        </is>
      </c>
      <c r="K36" s="111" t="n"/>
      <c r="L36" s="111" t="n"/>
      <c r="M36" s="112" t="inlineStr">
        <is>
          <t>NRL-Aqueous Ammonia Unit</t>
        </is>
      </c>
      <c r="N36" s="3" t="n"/>
      <c r="O36" s="3" t="n"/>
    </row>
    <row r="37" ht="83.5" customHeight="1" s="125">
      <c r="A37" s="3" t="inlineStr">
        <is>
          <t>B861</t>
        </is>
      </c>
      <c r="B37" s="3" t="n">
        <v>1</v>
      </c>
      <c r="C37" s="3" t="n"/>
      <c r="D37" s="3" t="n">
        <v>0</v>
      </c>
      <c r="E37" s="9" t="n">
        <v>8</v>
      </c>
      <c r="F37" s="3">
        <f>SUM(C37:E37)</f>
        <v/>
      </c>
      <c r="G37" s="62" t="inlineStr">
        <is>
          <t>Enginemtes order - prelim mtg &amp; rev. of Quality reqts</t>
        </is>
      </c>
      <c r="H37" s="62" t="n"/>
      <c r="I37" s="62" t="n"/>
      <c r="J37" s="110" t="inlineStr">
        <is>
          <t>G Suresh/Hemant Gadasia/</t>
        </is>
      </c>
      <c r="K37" s="111" t="n"/>
      <c r="L37" s="111" t="n"/>
      <c r="M37" s="112" t="n"/>
      <c r="N37" s="3" t="n"/>
      <c r="O37" s="3" t="n"/>
    </row>
    <row r="38" ht="83.5" customHeight="1" s="125">
      <c r="A38" s="3" t="inlineStr">
        <is>
          <t>B862</t>
        </is>
      </c>
      <c r="B38" s="3" t="n">
        <v>4</v>
      </c>
      <c r="C38" s="3">
        <f>B38*2</f>
        <v/>
      </c>
      <c r="D38" s="3" t="n"/>
      <c r="E38" s="9" t="n"/>
      <c r="F38" s="3">
        <f>SUM(C38:E38)</f>
        <v/>
      </c>
      <c r="G38" s="62" t="inlineStr">
        <is>
          <t>manhour for Level- 13 (Group-2), Level -15 &amp; 16 (Group-4) and Level-18 (Group-5) have far exceeded ceiling prescribed in the contract - &gt;Lvl 17-mh limited to 16%</t>
        </is>
      </c>
      <c r="H38" s="62" t="n"/>
      <c r="I38" s="62" t="n"/>
      <c r="J38" s="110" t="inlineStr">
        <is>
          <t>Himangshu Pal/Sanjeev Kumar/Rajeev Khandelwal IOM 10/7/24 from Mr Rajeev Khandelwal on level wise breakup of MH to be booked - to be followed while seeking MH.</t>
        </is>
      </c>
      <c r="K38" s="111" t="n"/>
      <c r="L38" s="111" t="n"/>
      <c r="M38" s="112" t="inlineStr">
        <is>
          <t>PLL</t>
        </is>
      </c>
      <c r="N38" s="3" t="n"/>
      <c r="O38" s="3" t="n"/>
      <c r="P38" t="inlineStr">
        <is>
          <t>200h rel in May'25</t>
        </is>
      </c>
    </row>
    <row r="39" ht="83.5" customHeight="1" s="125">
      <c r="A39" s="3" t="inlineStr">
        <is>
          <t>B865</t>
        </is>
      </c>
      <c r="B39" s="3" t="n">
        <v>1</v>
      </c>
      <c r="C39" s="3" t="n"/>
      <c r="D39" s="3" t="n"/>
      <c r="E39" s="9" t="n"/>
      <c r="F39" s="3" t="n"/>
      <c r="G39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H39" s="62" t="n"/>
      <c r="I39" s="62" t="n"/>
      <c r="J39" s="110" t="inlineStr">
        <is>
          <t>Avdesh Agrawal</t>
        </is>
      </c>
      <c r="K39" s="111" t="n"/>
      <c r="L39" s="111" t="n"/>
      <c r="M39" s="112" t="inlineStr">
        <is>
          <t>HPCL Petchem Mktg Terminal</t>
        </is>
      </c>
      <c r="N39" s="3" t="n"/>
      <c r="O39" s="3" t="n"/>
    </row>
    <row r="40" ht="83.5" customHeight="1" s="125">
      <c r="A40" s="3" t="inlineStr">
        <is>
          <t>B903</t>
        </is>
      </c>
      <c r="B40" s="3" t="n">
        <v>3</v>
      </c>
      <c r="C40" s="3">
        <f>2*B40</f>
        <v/>
      </c>
      <c r="D40" s="3" t="n"/>
      <c r="E40" s="9" t="n"/>
      <c r="F40" s="3">
        <f>SUM(C40:E40)</f>
        <v/>
      </c>
      <c r="G40" s="62" t="inlineStr">
        <is>
          <t>18h rel on 30/9[34]</t>
        </is>
      </c>
      <c r="H40" s="62" t="n"/>
      <c r="I40" s="62" t="n"/>
      <c r="J40" s="110" t="inlineStr">
        <is>
          <t>Sanjeev Kumar/Shnaoli</t>
        </is>
      </c>
      <c r="K40" s="111" t="n"/>
      <c r="L40" s="111" t="n"/>
      <c r="M40" s="112" t="n"/>
      <c r="N40" s="3" t="n"/>
      <c r="O40" s="3" t="n"/>
    </row>
    <row r="41" ht="83.5" customHeight="1" s="125">
      <c r="A41" s="3" t="inlineStr">
        <is>
          <t>B904</t>
        </is>
      </c>
      <c r="B41" s="3" t="n">
        <v>1</v>
      </c>
      <c r="C41" s="3">
        <f>2*1</f>
        <v/>
      </c>
      <c r="D41" s="3" t="n"/>
      <c r="E41" s="9" t="n"/>
      <c r="F41" s="3">
        <f>SUM(C41:E41)</f>
        <v/>
      </c>
      <c r="G41" s="62" t="inlineStr">
        <is>
          <t>8h rel on 30/9[14]</t>
        </is>
      </c>
      <c r="H41" s="62" t="n"/>
      <c r="I41" s="62" t="n"/>
      <c r="J41" s="110" t="inlineStr">
        <is>
          <t>Sanjeev Kumar/Shnaoli</t>
        </is>
      </c>
      <c r="K41" s="111" t="n"/>
      <c r="L41" s="111" t="n"/>
      <c r="M41" s="112" t="n"/>
      <c r="N41" s="3" t="n"/>
      <c r="O41" s="3" t="inlineStr">
        <is>
          <t>Proj. prof. n.avl.</t>
        </is>
      </c>
    </row>
    <row r="42" ht="83.5" customHeight="1" s="125">
      <c r="A42" s="3" t="inlineStr">
        <is>
          <t>B933</t>
        </is>
      </c>
      <c r="B42" s="3" t="n">
        <v>1</v>
      </c>
      <c r="C42" s="3">
        <f>2*1</f>
        <v/>
      </c>
      <c r="D42" s="3" t="n"/>
      <c r="E42" s="9">
        <f>8*0.5</f>
        <v/>
      </c>
      <c r="F42" s="3">
        <f>SUM(C42:E42)</f>
        <v/>
      </c>
      <c r="G42" s="62" t="inlineStr">
        <is>
          <t>Pump ITP rev-19/8(0.5d)-8h rel on 18/9[8]</t>
        </is>
      </c>
      <c r="H42" s="62" t="n"/>
      <c r="I42" s="62" t="n"/>
      <c r="J42" s="110" t="inlineStr">
        <is>
          <t>G Suresh/Binoy Debnath</t>
        </is>
      </c>
      <c r="K42" s="111" t="n"/>
      <c r="L42" s="111" t="n"/>
      <c r="M42" s="112" t="n"/>
      <c r="N42" s="3" t="n"/>
      <c r="O42" s="3" t="n"/>
    </row>
    <row r="43" ht="83.5" customHeight="1" s="125">
      <c r="A43" s="3" t="inlineStr">
        <is>
          <t>C007</t>
        </is>
      </c>
      <c r="B43" s="3" t="n">
        <v>3</v>
      </c>
      <c r="C43" s="3" t="n"/>
      <c r="D43" s="3">
        <f>8*B43</f>
        <v/>
      </c>
      <c r="E43" s="9" t="n"/>
      <c r="F43" s="3">
        <f>SUM(C43:E43)</f>
        <v/>
      </c>
      <c r="G43" s="62" t="inlineStr">
        <is>
          <t>8Welspun deputation from 1/8 to 13/7</t>
        </is>
      </c>
      <c r="H43" s="62" t="n"/>
      <c r="I43" s="62" t="n"/>
      <c r="J43" s="110" t="inlineStr">
        <is>
          <t>Himangshu Pal/Hemant Gadasia</t>
        </is>
      </c>
      <c r="K43" s="111" t="n"/>
      <c r="L43" s="111" t="n"/>
      <c r="M43" s="112" t="n"/>
      <c r="N43" s="3" t="n"/>
      <c r="O43" s="3" t="n"/>
    </row>
    <row r="44" ht="46" customHeight="1" s="125">
      <c r="A44" s="3" t="inlineStr">
        <is>
          <t>Leave</t>
        </is>
      </c>
      <c r="B44" s="3" t="n">
        <v>7</v>
      </c>
      <c r="C44" s="3" t="n"/>
      <c r="D44" s="3" t="n"/>
      <c r="E44" s="9" t="inlineStr">
        <is>
          <t xml:space="preserve"> </t>
        </is>
      </c>
      <c r="F44" s="3">
        <f>8*B44</f>
        <v/>
      </c>
      <c r="G44" s="62" t="inlineStr">
        <is>
          <t>VR:; AG:1,9;SV-;US:2,9  ;BT-22,25;NV-30</t>
        </is>
      </c>
      <c r="H44" s="62" t="n"/>
      <c r="I44" s="62" t="n"/>
      <c r="J44" s="110" t="inlineStr">
        <is>
          <t xml:space="preserve"> </t>
        </is>
      </c>
      <c r="K44" s="111" t="n"/>
      <c r="L44" s="111" t="n"/>
      <c r="M44" s="112" t="n"/>
      <c r="N44" s="3" t="n"/>
      <c r="O44" s="3">
        <f>F44-N44</f>
        <v/>
      </c>
      <c r="P44" t="n">
        <v>68</v>
      </c>
    </row>
    <row r="45" ht="45.5" customHeight="1" s="125">
      <c r="A45" s="3" t="inlineStr">
        <is>
          <t>Total</t>
        </is>
      </c>
      <c r="B45" s="3">
        <f>SUM(B10:B44)</f>
        <v/>
      </c>
      <c r="C45" s="3" t="n"/>
      <c r="D45" s="3" t="n"/>
      <c r="E45" s="9" t="n"/>
      <c r="F45" s="3">
        <f>SUM(F4:F44)</f>
        <v/>
      </c>
      <c r="G45" s="56" t="n"/>
      <c r="H45" s="56" t="n"/>
      <c r="I45" s="56" t="n"/>
      <c r="J45" s="110" t="n"/>
      <c r="K45" s="111" t="n"/>
      <c r="L45" s="111" t="n"/>
      <c r="M45" s="112" t="n"/>
      <c r="N45" s="3" t="n"/>
      <c r="O45" s="3">
        <f>F45-N45</f>
        <v/>
      </c>
      <c r="P45">
        <f>SUM(P10:P44)</f>
        <v/>
      </c>
      <c r="Q45">
        <f>672-P45</f>
        <v/>
      </c>
    </row>
    <row r="46" ht="83.5" customHeight="1" s="125">
      <c r="A46" s="3" t="n"/>
      <c r="B46" s="3" t="n"/>
      <c r="C46" s="3" t="n"/>
      <c r="D46" s="3" t="n"/>
      <c r="E46" s="9" t="n"/>
      <c r="F46" s="3" t="inlineStr">
        <is>
          <t xml:space="preserve"> </t>
        </is>
      </c>
      <c r="G46" s="56" t="n"/>
      <c r="H46" s="56" t="n"/>
      <c r="I46" s="56">
        <f>52*5*3- 36</f>
        <v/>
      </c>
      <c r="J46" s="110" t="n"/>
      <c r="K46" s="111" t="n"/>
      <c r="L46" s="111" t="n"/>
      <c r="M46" s="112" t="n"/>
      <c r="N46" s="3" t="n"/>
      <c r="O46" s="3" t="n"/>
    </row>
    <row r="47" ht="83.5" customHeight="1" s="125">
      <c r="A47" s="3" t="inlineStr">
        <is>
          <t>Notes:</t>
        </is>
      </c>
      <c r="B47" s="3" t="n"/>
      <c r="C47" s="3" t="n"/>
      <c r="D47" s="3" t="n"/>
      <c r="E47" s="9" t="n"/>
      <c r="F47" s="3" t="n"/>
      <c r="G47" s="56" t="n"/>
      <c r="H47" s="56" t="n"/>
      <c r="I47" s="56" t="n"/>
      <c r="J47" s="110" t="n"/>
      <c r="K47" s="111" t="inlineStr">
        <is>
          <t xml:space="preserve"> </t>
        </is>
      </c>
      <c r="L47" s="111" t="n"/>
      <c r="M47" s="112" t="n"/>
      <c r="N47" s="3" t="n"/>
      <c r="O47" s="3" t="n"/>
    </row>
    <row r="48" ht="83.5" customHeight="1" s="125">
      <c r="A48" s="3" t="inlineStr">
        <is>
          <t>1. If there are any other job nos., pl. include the same.</t>
        </is>
      </c>
      <c r="B48" s="3" t="n"/>
      <c r="C48" s="3" t="n"/>
      <c r="D48" s="3" t="n"/>
      <c r="E48" s="9" t="n"/>
      <c r="F48" s="3" t="n"/>
      <c r="G48" s="9" t="inlineStr">
        <is>
          <t xml:space="preserve"> </t>
        </is>
      </c>
      <c r="H48" s="111" t="n"/>
      <c r="I48" s="112" t="n"/>
      <c r="J48" s="6" t="inlineStr">
        <is>
          <t xml:space="preserve"> </t>
        </is>
      </c>
      <c r="K48" s="7" t="inlineStr">
        <is>
          <t xml:space="preserve"> </t>
        </is>
      </c>
      <c r="L48" s="7" t="n"/>
      <c r="M48" s="8" t="n"/>
      <c r="N48" s="3" t="n"/>
      <c r="O48" s="3" t="n"/>
    </row>
    <row r="49">
      <c r="A49" s="24" t="inlineStr">
        <is>
          <t xml:space="preserve">Guidelines : </t>
        </is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6" t="inlineStr">
        <is>
          <t>1. Inspection Visit including review and endorsement of final documents: At  actual</t>
        </is>
      </c>
      <c r="B50" s="26" t="n"/>
    </row>
    <row r="51">
      <c r="A51" s="26" t="inlineStr">
        <is>
          <t xml:space="preserve">2. Expediting and preparation of expediting report: Average 2 hours /month /order ( No separate man hours for coordination ) </t>
        </is>
      </c>
      <c r="Q51" t="inlineStr">
        <is>
          <t xml:space="preserve"> </t>
        </is>
      </c>
    </row>
    <row r="52">
      <c r="A52" s="26" t="inlineStr">
        <is>
          <t xml:space="preserve">3. Expediting visit/ Attending meeting with project/.Client: At  actual </t>
        </is>
      </c>
    </row>
    <row r="53">
      <c r="A53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4">
      <c r="A54" s="26" t="inlineStr">
        <is>
          <t xml:space="preserve">5. Review of ITP for Equipment (Mechanical and Electrical/DCS etc): Average 2 hours/order </t>
        </is>
      </c>
      <c r="M54" t="inlineStr">
        <is>
          <t xml:space="preserve"> </t>
        </is>
      </c>
    </row>
    <row r="55">
      <c r="A55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6">
      <c r="A56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7">
      <c r="A57" s="26" t="inlineStr">
        <is>
          <t xml:space="preserve">8. Order Closing report: Average 2 hours/Order  </t>
        </is>
      </c>
    </row>
    <row r="58">
      <c r="A58" s="27" t="n"/>
    </row>
    <row r="59">
      <c r="J59" t="inlineStr">
        <is>
          <t xml:space="preserve"> </t>
        </is>
      </c>
    </row>
  </sheetData>
  <mergeCells count="7">
    <mergeCell ref="G10:I10"/>
    <mergeCell ref="A2:I2"/>
    <mergeCell ref="A1:I1"/>
    <mergeCell ref="G48:I48"/>
    <mergeCell ref="G3:I3"/>
    <mergeCell ref="J2:M2"/>
    <mergeCell ref="G11:I11"/>
  </mergeCells>
  <pageMargins left="0.7" right="0.7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 filterMode="1">
    <outlinePr summaryBelow="1" summaryRight="1"/>
    <pageSetUpPr fitToPage="1"/>
  </sheetPr>
  <dimension ref="A1:Y56"/>
  <sheetViews>
    <sheetView workbookViewId="0">
      <selection activeCell="A3" sqref="A3:L3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45839</v>
      </c>
      <c r="M1" s="122" t="inlineStr">
        <is>
          <t xml:space="preserve">Total MH reqd: </t>
        </is>
      </c>
      <c r="O1" s="122">
        <f>ConsolidatedMHrequirementJul25!A2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19/09/25</t>
        </is>
      </c>
      <c r="L3" s="33" t="inlineStr">
        <is>
          <t>Shortfall</t>
        </is>
      </c>
    </row>
    <row r="4" hidden="1" ht="15" customHeight="1" s="125">
      <c r="A4" s="71" t="n">
        <v>4994</v>
      </c>
      <c r="B4" s="3">
        <f>ConsolidatedMHrequirementJul25!B4</f>
        <v/>
      </c>
      <c r="C4" s="3" t="n"/>
      <c r="D4" s="3" t="n"/>
      <c r="E4" s="3" t="n"/>
      <c r="F4" s="66" t="n"/>
      <c r="G4" s="3">
        <f>ConsolidatedMHrequirementJul25!D4</f>
        <v/>
      </c>
      <c r="H4" s="3">
        <f>ConsolidatedMHrequirementJul25!C4</f>
        <v/>
      </c>
      <c r="I4" s="3">
        <f>ConsolidatedMHrequirementJul25!E4</f>
        <v/>
      </c>
      <c r="J4" s="41">
        <f>VLOOKUP(A4,ConsolidatedMHrequirementJul25!$A$4:$I$44,6,FALSE)</f>
        <v/>
      </c>
      <c r="K4" s="3" t="n">
        <v>48</v>
      </c>
      <c r="L4" s="3">
        <f>J4-K4</f>
        <v/>
      </c>
      <c r="M4" s="69">
        <f>ConsolidatedMHrequirementJul25!G4</f>
        <v/>
      </c>
    </row>
    <row r="5" hidden="1" s="125">
      <c r="A5" s="71" t="n">
        <v>6979</v>
      </c>
      <c r="B5" s="3">
        <f>ConsolidatedMHrequirementJul25!B5</f>
        <v/>
      </c>
      <c r="C5" s="3" t="n"/>
      <c r="D5" s="3" t="n"/>
      <c r="E5" s="3" t="n"/>
      <c r="F5" s="3" t="n"/>
      <c r="G5" s="3">
        <f>ConsolidatedMHrequirementJul25!D5</f>
        <v/>
      </c>
      <c r="H5" s="3">
        <f>ConsolidatedMHrequirementJul25!C5</f>
        <v/>
      </c>
      <c r="I5" s="3">
        <f>ConsolidatedMHrequirementJul25!E5</f>
        <v/>
      </c>
      <c r="J5" s="41">
        <f>VLOOKUP(A5,ConsolidatedMHrequirementJul25!$A$4:$I$44,6,FALSE)</f>
        <v/>
      </c>
      <c r="K5" s="3" t="n"/>
      <c r="L5" s="3">
        <f>J5-K5</f>
        <v/>
      </c>
      <c r="M5" s="69">
        <f>ConsolidatedMHrequirementJul25!G5</f>
        <v/>
      </c>
      <c r="N5" s="69" t="n"/>
      <c r="O5" s="69" t="n"/>
      <c r="P5" s="69" t="n"/>
      <c r="Q5" s="69" t="n"/>
      <c r="R5" s="69" t="n"/>
      <c r="S5" s="69" t="n"/>
      <c r="T5" s="69" t="n"/>
    </row>
    <row r="6" hidden="1" ht="14.5" customFormat="1" customHeight="1" s="34">
      <c r="A6" s="71" t="n">
        <v>7716</v>
      </c>
      <c r="B6" s="3">
        <f>ConsolidatedMHrequirementJul25!B6</f>
        <v/>
      </c>
      <c r="C6" s="3" t="n"/>
      <c r="D6" s="3" t="n"/>
      <c r="E6" s="3" t="n"/>
      <c r="F6" s="66" t="n"/>
      <c r="G6" s="3">
        <f>ConsolidatedMHrequirementJul25!D6</f>
        <v/>
      </c>
      <c r="H6" s="3">
        <f>ConsolidatedMHrequirementJul25!C6</f>
        <v/>
      </c>
      <c r="I6" s="3">
        <f>ConsolidatedMHrequirementJul25!E6</f>
        <v/>
      </c>
      <c r="J6" s="41">
        <f>VLOOKUP(A6,ConsolidatedMHrequirementJul25!$A$4:$I$44,6,FALSE)</f>
        <v/>
      </c>
      <c r="K6" s="44" t="n"/>
      <c r="L6" s="3">
        <f>J6-K6</f>
        <v/>
      </c>
      <c r="M6" s="69">
        <f>ConsolidatedMHrequirementJul25!G6</f>
        <v/>
      </c>
      <c r="N6" s="69" t="n"/>
      <c r="O6" s="69" t="n"/>
      <c r="P6" s="69" t="n"/>
      <c r="Q6" s="69" t="n"/>
      <c r="R6" s="69" t="n"/>
      <c r="S6" s="69" t="n"/>
      <c r="T6" s="69" t="n"/>
    </row>
    <row r="7" hidden="1" ht="14.5" customFormat="1" customHeight="1" s="34">
      <c r="A7" s="71" t="n">
        <v>8518</v>
      </c>
      <c r="B7" s="3">
        <f>ConsolidatedMHrequirementJul25!B7</f>
        <v/>
      </c>
      <c r="C7" s="3" t="n"/>
      <c r="D7" s="3" t="n"/>
      <c r="E7" s="3" t="n"/>
      <c r="F7" s="66" t="n"/>
      <c r="G7" s="3">
        <f>ConsolidatedMHrequirementJul25!D7</f>
        <v/>
      </c>
      <c r="H7" s="3">
        <f>ConsolidatedMHrequirementJul25!C7</f>
        <v/>
      </c>
      <c r="I7" s="3">
        <f>ConsolidatedMHrequirementJul25!E7</f>
        <v/>
      </c>
      <c r="J7" s="41">
        <f>VLOOKUP(A7,ConsolidatedMHrequirementJul25!$A$4:$I$44,6,FALSE)</f>
        <v/>
      </c>
      <c r="K7" s="44" t="n"/>
      <c r="L7" s="3">
        <f>J7-K7</f>
        <v/>
      </c>
      <c r="M7" s="69">
        <f>ConsolidatedMHrequirementJul25!G7</f>
        <v/>
      </c>
      <c r="N7" s="69" t="n"/>
      <c r="O7" s="69" t="n"/>
      <c r="P7" s="69" t="n"/>
      <c r="Q7" s="69" t="n"/>
      <c r="R7" s="69" t="n"/>
      <c r="S7" s="69" t="n"/>
      <c r="T7" s="69" t="n"/>
    </row>
    <row r="8" hidden="1" ht="14.5" customFormat="1" customHeight="1" s="34">
      <c r="A8" s="71" t="n">
        <v>8590</v>
      </c>
      <c r="B8" s="3">
        <f>ConsolidatedMHrequirementJul25!B8</f>
        <v/>
      </c>
      <c r="C8" s="3" t="n"/>
      <c r="D8" s="3" t="n"/>
      <c r="E8" s="3" t="n"/>
      <c r="F8" s="66" t="n"/>
      <c r="G8" s="3">
        <f>ConsolidatedMHrequirementJul25!D8</f>
        <v/>
      </c>
      <c r="H8" s="3">
        <f>ConsolidatedMHrequirementJul25!C8</f>
        <v/>
      </c>
      <c r="I8" s="3">
        <f>ConsolidatedMHrequirementJul25!E8</f>
        <v/>
      </c>
      <c r="J8" s="41">
        <f>VLOOKUP(A8,ConsolidatedMHrequirementJul25!$A$4:$I$44,6,FALSE)</f>
        <v/>
      </c>
      <c r="K8" s="44" t="n"/>
      <c r="L8" s="3">
        <f>J8-K8</f>
        <v/>
      </c>
      <c r="M8" s="69">
        <f>ConsolidatedMHrequirementJul25!G8</f>
        <v/>
      </c>
      <c r="N8" s="69" t="n"/>
      <c r="O8" s="69" t="n"/>
      <c r="P8" s="69" t="n"/>
      <c r="Q8" s="69" t="n"/>
      <c r="R8" s="69" t="n"/>
      <c r="S8" s="69" t="n"/>
      <c r="T8" s="69" t="n"/>
    </row>
    <row r="9" hidden="1" customFormat="1" s="34">
      <c r="A9" s="10" t="inlineStr">
        <is>
          <t>B016</t>
        </is>
      </c>
      <c r="B9" s="3">
        <f>ConsolidatedMHrequirementJul25!B9</f>
        <v/>
      </c>
      <c r="C9" s="41" t="n"/>
      <c r="D9" s="41" t="n"/>
      <c r="E9" s="41" t="n"/>
      <c r="F9" s="54" t="n"/>
      <c r="G9" s="3">
        <f>ConsolidatedMHrequirementJul25!D9</f>
        <v/>
      </c>
      <c r="H9" s="3">
        <f>ConsolidatedMHrequirementJul25!C9</f>
        <v/>
      </c>
      <c r="I9" s="3">
        <f>ConsolidatedMHrequirementJul25!E9</f>
        <v/>
      </c>
      <c r="J9" s="41">
        <f>VLOOKUP(A9,ConsolidatedMHrequirementJul25!$A$4:$I$44,6,FALSE)</f>
        <v/>
      </c>
      <c r="K9" s="44" t="n"/>
      <c r="L9" s="3">
        <f>J9-K9</f>
        <v/>
      </c>
      <c r="M9" s="84">
        <f>ConsolidatedMHrequirementJul25!G9</f>
        <v/>
      </c>
      <c r="N9" s="69" t="n"/>
      <c r="O9" s="69" t="n"/>
      <c r="P9" s="69" t="n"/>
      <c r="Q9" s="69" t="n"/>
      <c r="R9" s="69" t="n"/>
      <c r="S9" s="69" t="n"/>
      <c r="T9" s="69" t="n"/>
    </row>
    <row r="10" hidden="1" ht="15" customFormat="1" customHeight="1" s="34">
      <c r="A10" s="10" t="inlineStr">
        <is>
          <t>B035</t>
        </is>
      </c>
      <c r="B10" s="3">
        <f>ConsolidatedMHrequirementJul25!B10</f>
        <v/>
      </c>
      <c r="C10" s="41" t="n"/>
      <c r="D10" s="41" t="n"/>
      <c r="E10" s="41" t="n"/>
      <c r="F10" s="54" t="n"/>
      <c r="G10" s="3">
        <f>ConsolidatedMHrequirementJul25!D10</f>
        <v/>
      </c>
      <c r="H10" s="3">
        <f>ConsolidatedMHrequirementJul25!C10</f>
        <v/>
      </c>
      <c r="I10" s="3">
        <f>ConsolidatedMHrequirementJul25!E10</f>
        <v/>
      </c>
      <c r="J10" s="41">
        <f>VLOOKUP(A10,ConsolidatedMHrequirementJul25!$A$4:$I$44,6,FALSE)</f>
        <v/>
      </c>
      <c r="K10" s="41" t="n"/>
      <c r="L10" s="3">
        <f>J10-K10</f>
        <v/>
      </c>
      <c r="M10" s="84">
        <f>ConsolidatedMHrequirementJul25!G10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idden="1" ht="16.5" customFormat="1" customHeight="1" s="34">
      <c r="A11" s="10" t="inlineStr">
        <is>
          <t>B038</t>
        </is>
      </c>
      <c r="B11" s="3">
        <f>ConsolidatedMHrequirementJul25!B11</f>
        <v/>
      </c>
      <c r="C11" s="41" t="n"/>
      <c r="D11" s="41" t="n"/>
      <c r="E11" s="41" t="n"/>
      <c r="F11" s="41" t="inlineStr">
        <is>
          <t xml:space="preserve"> </t>
        </is>
      </c>
      <c r="G11" s="3">
        <f>ConsolidatedMHrequirementJul25!D11</f>
        <v/>
      </c>
      <c r="H11" s="3">
        <f>ConsolidatedMHrequirementJul25!C11</f>
        <v/>
      </c>
      <c r="I11" s="3">
        <f>ConsolidatedMHrequirementJul25!E11</f>
        <v/>
      </c>
      <c r="J11" s="41">
        <f>VLOOKUP(A11,ConsolidatedMHrequirementJul25!$A$4:$I$44,6,FALSE)</f>
        <v/>
      </c>
      <c r="K11" s="41" t="n"/>
      <c r="L11" s="3">
        <f>J11-K11</f>
        <v/>
      </c>
      <c r="M11" s="69" t="inlineStr">
        <is>
          <t>1order OCS</t>
        </is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hidden="1" customFormat="1" s="34">
      <c r="A12" s="10" t="inlineStr">
        <is>
          <t>B058</t>
        </is>
      </c>
      <c r="B12" s="3">
        <f>ConsolidatedMHrequirementJul25!B12</f>
        <v/>
      </c>
      <c r="C12" s="41" t="n"/>
      <c r="D12" s="41" t="n"/>
      <c r="E12" s="41" t="n"/>
      <c r="F12" s="54" t="n"/>
      <c r="G12" s="3">
        <f>ConsolidatedMHrequirementJul25!D12</f>
        <v/>
      </c>
      <c r="H12" s="3">
        <f>ConsolidatedMHrequirementJul25!C12</f>
        <v/>
      </c>
      <c r="I12" s="3">
        <f>ConsolidatedMHrequirementJul25!E12</f>
        <v/>
      </c>
      <c r="J12" s="41">
        <f>VLOOKUP(A12,ConsolidatedMHrequirementJul25!$A$4:$I$44,6,FALSE)</f>
        <v/>
      </c>
      <c r="K12" s="41" t="n"/>
      <c r="L12" s="3">
        <f>J12-K12</f>
        <v/>
      </c>
      <c r="M12" s="69">
        <f>ConsolidatedMHrequirementJul25!G12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ConsolidatedMHrequirementJul25!B13</f>
        <v/>
      </c>
      <c r="C13" s="3" t="n"/>
      <c r="D13" s="3" t="n"/>
      <c r="E13" s="3" t="n"/>
      <c r="F13" s="66" t="n"/>
      <c r="G13" s="3">
        <f>ConsolidatedMHrequirementJul25!D13</f>
        <v/>
      </c>
      <c r="H13" s="3">
        <f>ConsolidatedMHrequirementJul25!C13</f>
        <v/>
      </c>
      <c r="I13" s="3">
        <f>ConsolidatedMHrequirementJul25!E13</f>
        <v/>
      </c>
      <c r="J13" s="41">
        <f>VLOOKUP(A13,ConsolidatedMHrequirementJul25!$A$4:$I$44,6,FALSE)</f>
        <v/>
      </c>
      <c r="K13" s="44" t="n">
        <v>256</v>
      </c>
      <c r="L13" s="3">
        <f>J13-K13</f>
        <v/>
      </c>
      <c r="M13" s="69">
        <f>ConsolidatedMHrequirementJul25!G13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hidden="1" customFormat="1" s="34">
      <c r="A14" s="10" t="inlineStr">
        <is>
          <t>B229</t>
        </is>
      </c>
      <c r="B14" s="3">
        <f>ConsolidatedMHrequirementJul25!B14</f>
        <v/>
      </c>
      <c r="C14" s="41" t="n"/>
      <c r="D14" s="41" t="n"/>
      <c r="E14" s="41" t="n"/>
      <c r="F14" s="54" t="n"/>
      <c r="G14" s="3">
        <f>ConsolidatedMHrequirementJul25!D14</f>
        <v/>
      </c>
      <c r="H14" s="3">
        <f>ConsolidatedMHrequirementJul25!C14</f>
        <v/>
      </c>
      <c r="I14" s="3">
        <f>ConsolidatedMHrequirementJul25!E14</f>
        <v/>
      </c>
      <c r="J14" s="41">
        <f>VLOOKUP(A14,ConsolidatedMHrequirementJul25!$A$4:$I$44,6,FALSE)</f>
        <v/>
      </c>
      <c r="K14" s="41" t="n"/>
      <c r="L14" s="3">
        <f>J14-K14</f>
        <v/>
      </c>
      <c r="M14" s="69">
        <f>ConsolidatedMHrequirementJul25!G14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ConsolidatedMHrequirementJul25!B15</f>
        <v/>
      </c>
      <c r="C15" s="3" t="n"/>
      <c r="D15" s="3" t="n"/>
      <c r="E15" s="3" t="n"/>
      <c r="F15" s="66" t="n"/>
      <c r="G15" s="3">
        <f>ConsolidatedMHrequirementJul25!D15</f>
        <v/>
      </c>
      <c r="H15" s="3">
        <f>ConsolidatedMHrequirementJul25!C15</f>
        <v/>
      </c>
      <c r="I15" s="3">
        <f>ConsolidatedMHrequirementJul25!E15</f>
        <v/>
      </c>
      <c r="J15" s="41">
        <f>VLOOKUP(A15,ConsolidatedMHrequirementJul25!$A$4:$I$44,6,FALSE)</f>
        <v/>
      </c>
      <c r="K15" s="41" t="n">
        <v>44</v>
      </c>
      <c r="L15" s="3">
        <f>J15-K15</f>
        <v/>
      </c>
      <c r="M15" s="69">
        <f>ConsolidatedMHrequirementJul25!G15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hidden="1" customFormat="1" s="34">
      <c r="A16" s="10" t="inlineStr">
        <is>
          <t>B285</t>
        </is>
      </c>
      <c r="B16" s="3">
        <f>ConsolidatedMHrequirementJul25!B16</f>
        <v/>
      </c>
      <c r="C16" s="41" t="n"/>
      <c r="D16" s="41" t="n"/>
      <c r="E16" s="41" t="n"/>
      <c r="F16" s="44" t="n"/>
      <c r="G16" s="3">
        <f>ConsolidatedMHrequirementJul25!D16</f>
        <v/>
      </c>
      <c r="H16" s="3">
        <f>ConsolidatedMHrequirementJul25!C16</f>
        <v/>
      </c>
      <c r="I16" s="3">
        <f>ConsolidatedMHrequirementJul25!E16</f>
        <v/>
      </c>
      <c r="J16" s="41">
        <f>VLOOKUP(A16,ConsolidatedMHrequirementJul25!$A$4:$I$44,6,FALSE)</f>
        <v/>
      </c>
      <c r="K16" s="41" t="n"/>
      <c r="L16" s="3">
        <f>J16-K16</f>
        <v/>
      </c>
      <c r="M16" s="69">
        <f>ConsolidatedMHrequirementJul25!G16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ConsolidatedMHrequirementJul25!B17</f>
        <v/>
      </c>
      <c r="C17" s="41" t="n"/>
      <c r="D17" s="41" t="n"/>
      <c r="E17" s="41" t="n"/>
      <c r="F17" s="54" t="n"/>
      <c r="G17" s="3">
        <f>ConsolidatedMHrequirementJul25!D17</f>
        <v/>
      </c>
      <c r="H17" s="3">
        <f>ConsolidatedMHrequirementJul25!C17</f>
        <v/>
      </c>
      <c r="I17" s="3">
        <f>ConsolidatedMHrequirementJul25!E17</f>
        <v/>
      </c>
      <c r="J17" s="41">
        <f>VLOOKUP(A17,ConsolidatedMHrequirementJul25!$A$4:$I$44,6,FALSE)</f>
        <v/>
      </c>
      <c r="K17" s="41" t="n">
        <v>8</v>
      </c>
      <c r="L17" s="3">
        <f>J17-K17</f>
        <v/>
      </c>
      <c r="M17" s="69">
        <f>ConsolidatedMHrequirementJul25!G17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ConsolidatedMHrequirementJul25!B18</f>
        <v/>
      </c>
      <c r="C18" s="41" t="n"/>
      <c r="D18" s="41" t="n"/>
      <c r="E18" s="41" t="n"/>
      <c r="F18" s="54" t="n"/>
      <c r="G18" s="3">
        <f>ConsolidatedMHrequirementJul25!D18</f>
        <v/>
      </c>
      <c r="H18" s="3">
        <f>ConsolidatedMHrequirementJul25!C18</f>
        <v/>
      </c>
      <c r="I18" s="3">
        <f>ConsolidatedMHrequirementJul25!E18</f>
        <v/>
      </c>
      <c r="J18" s="41">
        <f>VLOOKUP(A18,ConsolidatedMHrequirementJul25!$A$4:$I$44,6,FALSE)</f>
        <v/>
      </c>
      <c r="K18" s="41" t="n"/>
      <c r="L18" s="3">
        <f>J18-K18</f>
        <v/>
      </c>
      <c r="M18" s="69">
        <f>ConsolidatedMHrequirementJul25!G18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idden="1" ht="15" customFormat="1" customHeight="1" s="34">
      <c r="A19" s="10" t="inlineStr">
        <is>
          <t>B348</t>
        </is>
      </c>
      <c r="B19" s="3">
        <f>ConsolidatedMHrequirementJul25!B19</f>
        <v/>
      </c>
      <c r="C19" s="41" t="n"/>
      <c r="D19" s="41" t="n"/>
      <c r="E19" s="41" t="n"/>
      <c r="F19" s="44" t="n">
        <v>1</v>
      </c>
      <c r="G19" s="3">
        <f>ConsolidatedMHrequirementJul25!D19</f>
        <v/>
      </c>
      <c r="H19" s="3">
        <f>ConsolidatedMHrequirementJul25!C19</f>
        <v/>
      </c>
      <c r="I19" s="3">
        <f>ConsolidatedMHrequirementJul25!E19</f>
        <v/>
      </c>
      <c r="J19" s="41">
        <f>VLOOKUP(A19,ConsolidatedMHrequirementJul25!$A$4:$I$44,6,FALSE)</f>
        <v/>
      </c>
      <c r="K19" s="41" t="n">
        <v>12</v>
      </c>
      <c r="L19" s="3">
        <f>J19-K19</f>
        <v/>
      </c>
      <c r="M19" s="69">
        <f>ConsolidatedMHrequirementJul25!G19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idden="1" ht="15.5" customFormat="1" customHeight="1" s="34">
      <c r="A20" s="10" t="inlineStr">
        <is>
          <t>B359</t>
        </is>
      </c>
      <c r="B20" s="3">
        <f>ConsolidatedMHrequirementJul25!B20</f>
        <v/>
      </c>
      <c r="C20" s="41" t="n"/>
      <c r="D20" s="41" t="n"/>
      <c r="E20" s="41" t="n"/>
      <c r="F20" s="44" t="n"/>
      <c r="G20" s="3">
        <f>ConsolidatedMHrequirementJul25!D20</f>
        <v/>
      </c>
      <c r="H20" s="3">
        <f>ConsolidatedMHrequirementJul25!C20</f>
        <v/>
      </c>
      <c r="I20" s="3">
        <f>ConsolidatedMHrequirementJul25!E20</f>
        <v/>
      </c>
      <c r="J20" s="41">
        <f>VLOOKUP(A20,ConsolidatedMHrequirementJul25!$A$4:$I$44,6,FALSE)</f>
        <v/>
      </c>
      <c r="K20" s="41" t="n"/>
      <c r="L20" s="3">
        <f>J20-K20</f>
        <v/>
      </c>
      <c r="M20" s="69">
        <f>ConsolidatedMHrequirementJul25!G20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idden="1" ht="15" customFormat="1" customHeight="1" s="34">
      <c r="A21" s="10" t="inlineStr">
        <is>
          <t>B378</t>
        </is>
      </c>
      <c r="B21" s="3">
        <f>ConsolidatedMHrequirementJul25!B21</f>
        <v/>
      </c>
      <c r="C21" s="41" t="n"/>
      <c r="D21" s="41" t="n"/>
      <c r="E21" s="41" t="n"/>
      <c r="F21" s="44" t="n"/>
      <c r="G21" s="3">
        <f>ConsolidatedMHrequirementJul25!D21</f>
        <v/>
      </c>
      <c r="H21" s="3">
        <f>ConsolidatedMHrequirementJul25!C21</f>
        <v/>
      </c>
      <c r="I21" s="3">
        <f>ConsolidatedMHrequirementJul25!E21</f>
        <v/>
      </c>
      <c r="J21" s="41">
        <f>VLOOKUP(A21,ConsolidatedMHrequirementJul25!$A$4:$I$44,6,FALSE)</f>
        <v/>
      </c>
      <c r="K21" s="44" t="n">
        <v>138</v>
      </c>
      <c r="L21" s="3">
        <f>J21-K21</f>
        <v/>
      </c>
      <c r="M21" s="69">
        <f>ConsolidatedMHrequirementJul25!G21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B414</t>
        </is>
      </c>
      <c r="B22" s="3">
        <f>ConsolidatedMHrequirementJul25!B22</f>
        <v/>
      </c>
      <c r="C22" s="41" t="n"/>
      <c r="D22" s="41" t="n"/>
      <c r="E22" s="41" t="n"/>
      <c r="F22" s="44" t="n"/>
      <c r="G22" s="3">
        <f>ConsolidatedMHrequirementJul25!D22</f>
        <v/>
      </c>
      <c r="H22" s="3">
        <f>ConsolidatedMHrequirementJul25!C22</f>
        <v/>
      </c>
      <c r="I22" s="3">
        <f>ConsolidatedMHrequirementJul25!E22</f>
        <v/>
      </c>
      <c r="J22" s="41">
        <f>VLOOKUP(A22,ConsolidatedMHrequirementJul25!$A$4:$I$44,6,FALSE)</f>
        <v/>
      </c>
      <c r="K22" s="41" t="n"/>
      <c r="L22" s="3">
        <f>J22-K22</f>
        <v/>
      </c>
      <c r="M22" s="69">
        <f>ConsolidatedMHrequirementJul25!G22</f>
        <v/>
      </c>
      <c r="N22" s="69" t="n"/>
      <c r="O22" s="69" t="n"/>
      <c r="P22" s="69" t="n"/>
      <c r="Q22" s="69" t="n"/>
      <c r="R22" s="69" t="n"/>
      <c r="S22" s="69" t="n"/>
      <c r="T22" s="69" t="n"/>
      <c r="V22" s="48" t="n"/>
      <c r="W22" s="48" t="n"/>
      <c r="X22" s="48" t="n"/>
      <c r="Y22" s="48" t="n"/>
    </row>
    <row r="23" hidden="1" ht="15" customFormat="1" customHeight="1" s="34">
      <c r="A23" s="10" t="inlineStr">
        <is>
          <t>B436</t>
        </is>
      </c>
      <c r="B23" s="3">
        <f>ConsolidatedMHrequirementJul25!B23</f>
        <v/>
      </c>
      <c r="C23" s="41" t="n"/>
      <c r="D23" s="41" t="n"/>
      <c r="E23" s="41" t="n"/>
      <c r="F23" s="44" t="n"/>
      <c r="G23" s="3">
        <f>ConsolidatedMHrequirementJul25!D23</f>
        <v/>
      </c>
      <c r="H23" s="3">
        <f>ConsolidatedMHrequirementJul25!C23</f>
        <v/>
      </c>
      <c r="I23" s="3">
        <f>ConsolidatedMHrequirementJul25!E23</f>
        <v/>
      </c>
      <c r="J23" s="41">
        <f>VLOOKUP(A23,ConsolidatedMHrequirementJul25!$A$4:$I$44,6,FALSE)</f>
        <v/>
      </c>
      <c r="K23" s="41" t="n"/>
      <c r="L23" s="3">
        <f>J23-K23</f>
        <v/>
      </c>
      <c r="M23" s="69">
        <f>ConsolidatedMHrequirementJul25!G23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idden="1" ht="15" customFormat="1" customHeight="1" s="34">
      <c r="A24" s="10" t="inlineStr">
        <is>
          <t>B440</t>
        </is>
      </c>
      <c r="B24" s="3">
        <f>ConsolidatedMHrequirementJul25!B24</f>
        <v/>
      </c>
      <c r="C24" s="41" t="n"/>
      <c r="D24" s="41" t="n"/>
      <c r="E24" s="41" t="n"/>
      <c r="F24" s="44" t="n"/>
      <c r="G24" s="3">
        <f>ConsolidatedMHrequirementJul25!D24</f>
        <v/>
      </c>
      <c r="H24" s="3">
        <f>ConsolidatedMHrequirementJul25!C24</f>
        <v/>
      </c>
      <c r="I24" s="3">
        <f>ConsolidatedMHrequirementJul25!E24</f>
        <v/>
      </c>
      <c r="J24" s="41">
        <f>VLOOKUP(A24,ConsolidatedMHrequirementJul25!$A$4:$I$44,6,FALSE)</f>
        <v/>
      </c>
      <c r="K24" s="41" t="n">
        <v>0</v>
      </c>
      <c r="L24" s="3">
        <f>J24-K24</f>
        <v/>
      </c>
      <c r="M24" s="69">
        <f>ConsolidatedMHrequirementJul25!G24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idden="1" ht="15" customFormat="1" customHeight="1" s="34">
      <c r="A25" s="10" t="inlineStr">
        <is>
          <t>B448</t>
        </is>
      </c>
      <c r="B25" s="3">
        <f>ConsolidatedMHrequirementJul25!B25</f>
        <v/>
      </c>
      <c r="C25" s="41" t="n"/>
      <c r="D25" s="41" t="n"/>
      <c r="E25" s="41" t="n"/>
      <c r="F25" s="44" t="n"/>
      <c r="G25" s="3">
        <f>ConsolidatedMHrequirementJul25!D25</f>
        <v/>
      </c>
      <c r="H25" s="3">
        <f>ConsolidatedMHrequirementJul25!C25</f>
        <v/>
      </c>
      <c r="I25" s="3">
        <f>ConsolidatedMHrequirementJul25!E25</f>
        <v/>
      </c>
      <c r="J25" s="41">
        <f>VLOOKUP(A25,ConsolidatedMHrequirementJul25!$A$4:$I$44,6,FALSE)</f>
        <v/>
      </c>
      <c r="K25" s="41" t="n">
        <v>28</v>
      </c>
      <c r="L25" s="3">
        <f>J25-K25</f>
        <v/>
      </c>
      <c r="M25" s="69">
        <f>ConsolidatedMHrequirementJul25!G25</f>
        <v/>
      </c>
      <c r="N25" s="69" t="n"/>
      <c r="O25" s="69" t="n"/>
      <c r="P25" s="69" t="n"/>
      <c r="Q25" s="69" t="n"/>
      <c r="R25" s="69" t="n"/>
      <c r="S25" s="69" t="n"/>
      <c r="T25" s="69" t="n"/>
      <c r="V25" s="34" t="inlineStr">
        <is>
          <t xml:space="preserve"> </t>
        </is>
      </c>
      <c r="W25" s="34" t="inlineStr">
        <is>
          <t xml:space="preserve"> </t>
        </is>
      </c>
      <c r="X25" s="34" t="inlineStr">
        <is>
          <t xml:space="preserve"> </t>
        </is>
      </c>
      <c r="Y25" s="34" t="inlineStr">
        <is>
          <t xml:space="preserve"> </t>
        </is>
      </c>
    </row>
    <row r="26" hidden="1" ht="15" customFormat="1" customHeight="1" s="34">
      <c r="A26" s="10" t="inlineStr">
        <is>
          <t>B519</t>
        </is>
      </c>
      <c r="B26" s="3">
        <f>ConsolidatedMHrequirementJul25!B26</f>
        <v/>
      </c>
      <c r="C26" s="3" t="n"/>
      <c r="D26" s="3" t="n"/>
      <c r="E26" s="3" t="n"/>
      <c r="F26" s="90" t="n"/>
      <c r="G26" s="3">
        <f>ConsolidatedMHrequirementJul25!D26</f>
        <v/>
      </c>
      <c r="H26" s="3">
        <f>ConsolidatedMHrequirementJul25!C26</f>
        <v/>
      </c>
      <c r="I26" s="3">
        <f>ConsolidatedMHrequirementJul25!E26</f>
        <v/>
      </c>
      <c r="J26" s="41">
        <f>VLOOKUP(A26,ConsolidatedMHrequirementJul25!$A$4:$I$44,6,FALSE)</f>
        <v/>
      </c>
      <c r="K26" s="41" t="n"/>
      <c r="L26" s="3">
        <f>J26-K26</f>
        <v/>
      </c>
      <c r="M26" s="69">
        <f>ConsolidatedMHrequirementJul25!G26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 xml:space="preserve"> </t>
        </is>
      </c>
      <c r="W26" s="34" t="inlineStr">
        <is>
          <t xml:space="preserve"> </t>
        </is>
      </c>
    </row>
    <row r="27" hidden="1" s="125">
      <c r="A27" s="10" t="inlineStr">
        <is>
          <t>B548</t>
        </is>
      </c>
      <c r="B27" s="3">
        <f>ConsolidatedMHrequirementJul25!B27</f>
        <v/>
      </c>
      <c r="C27" s="41" t="n"/>
      <c r="D27" s="41" t="n"/>
      <c r="E27" s="41" t="n"/>
      <c r="F27" s="44" t="n"/>
      <c r="G27" s="3">
        <f>ConsolidatedMHrequirementJul25!D27</f>
        <v/>
      </c>
      <c r="H27" s="3">
        <f>ConsolidatedMHrequirementJul25!C27</f>
        <v/>
      </c>
      <c r="I27" s="3">
        <f>ConsolidatedMHrequirementJul25!E27</f>
        <v/>
      </c>
      <c r="J27" s="41">
        <f>VLOOKUP(A27,ConsolidatedMHrequirementJul25!$A$4:$I$44,6,FALSE)</f>
        <v/>
      </c>
      <c r="K27" s="41" t="n"/>
      <c r="L27" s="3">
        <f>J27-K27</f>
        <v/>
      </c>
      <c r="M27" s="69">
        <f>ConsolidatedMHrequirementJul25!G27</f>
        <v/>
      </c>
      <c r="N27" s="69" t="n"/>
      <c r="O27" s="69" t="n"/>
      <c r="P27" s="69" t="n"/>
      <c r="Q27" s="69" t="n"/>
      <c r="R27" s="69" t="n"/>
      <c r="S27" s="69" t="n"/>
      <c r="T27" s="69" t="n"/>
    </row>
    <row r="28" hidden="1" ht="15" customFormat="1" customHeight="1" s="34">
      <c r="A28" s="10" t="inlineStr">
        <is>
          <t>B559</t>
        </is>
      </c>
      <c r="B28" s="3">
        <f>ConsolidatedMHrequirementJul25!B28</f>
        <v/>
      </c>
      <c r="C28" s="3" t="n"/>
      <c r="D28" s="3" t="n"/>
      <c r="E28" s="3" t="n"/>
      <c r="F28" s="90" t="n">
        <v>1</v>
      </c>
      <c r="G28" s="3">
        <f>ConsolidatedMHrequirementJul25!D28</f>
        <v/>
      </c>
      <c r="H28" s="3">
        <f>ConsolidatedMHrequirementJul25!C28</f>
        <v/>
      </c>
      <c r="I28" s="3">
        <f>ConsolidatedMHrequirementJul25!E28</f>
        <v/>
      </c>
      <c r="J28" s="41">
        <f>VLOOKUP(A28,ConsolidatedMHrequirementJul25!$A$4:$I$44,6,FALSE)</f>
        <v/>
      </c>
      <c r="K28" s="41" t="n"/>
      <c r="L28" s="3">
        <f>J28-K28</f>
        <v/>
      </c>
      <c r="M28" s="69">
        <f>ConsolidatedMHrequirementJul25!G28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idden="1" ht="15" customFormat="1" customHeight="1" s="34">
      <c r="A29" s="10" t="inlineStr">
        <is>
          <t>B560</t>
        </is>
      </c>
      <c r="B29" s="3">
        <f>ConsolidatedMHrequirementJul25!B29</f>
        <v/>
      </c>
      <c r="C29" s="41" t="n"/>
      <c r="D29" s="41" t="n"/>
      <c r="E29" s="41" t="n"/>
      <c r="F29" s="44" t="n">
        <v>1</v>
      </c>
      <c r="G29" s="3">
        <f>ConsolidatedMHrequirementJul25!D29</f>
        <v/>
      </c>
      <c r="H29" s="3">
        <f>ConsolidatedMHrequirementJul25!C29</f>
        <v/>
      </c>
      <c r="I29" s="3">
        <f>ConsolidatedMHrequirementJul25!E29</f>
        <v/>
      </c>
      <c r="J29" s="41">
        <f>VLOOKUP(A29,ConsolidatedMHrequirementJul25!$A$4:$I$44,6,FALSE)</f>
        <v/>
      </c>
      <c r="K29" s="41" t="n"/>
      <c r="L29" s="3">
        <f>J29-K29</f>
        <v/>
      </c>
      <c r="M29" s="69">
        <f>ConsolidatedMHrequirementJul25!G29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idden="1" s="125">
      <c r="A30" s="10" t="inlineStr">
        <is>
          <t>B589</t>
        </is>
      </c>
      <c r="B30" s="3">
        <f>ConsolidatedMHrequirementJul25!B30</f>
        <v/>
      </c>
      <c r="C30" s="3" t="n"/>
      <c r="D30" s="3" t="n"/>
      <c r="E30" s="3" t="n"/>
      <c r="F30" s="66" t="n"/>
      <c r="G30" s="3">
        <f>ConsolidatedMHrequirementJul25!D30</f>
        <v/>
      </c>
      <c r="H30" s="3">
        <f>ConsolidatedMHrequirementJul25!C30</f>
        <v/>
      </c>
      <c r="I30" s="3">
        <f>ConsolidatedMHrequirementJul25!E30</f>
        <v/>
      </c>
      <c r="J30" s="41">
        <f>VLOOKUP(A30,ConsolidatedMHrequirementJul25!$A$4:$I$44,6,FALSE)</f>
        <v/>
      </c>
      <c r="K30" s="41" t="n"/>
      <c r="L30" s="3">
        <f>J30-K30</f>
        <v/>
      </c>
      <c r="M30" s="69">
        <f>ConsolidatedMHrequirementJul25!G30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idden="1" customFormat="1" s="34">
      <c r="A31" s="10" t="inlineStr">
        <is>
          <t>B650</t>
        </is>
      </c>
      <c r="B31" s="3">
        <f>ConsolidatedMHrequirementJul25!B31</f>
        <v/>
      </c>
      <c r="C31" s="3" t="n"/>
      <c r="D31" s="3" t="n"/>
      <c r="E31" s="3" t="n"/>
      <c r="F31" s="68" t="n"/>
      <c r="G31" s="3">
        <f>ConsolidatedMHrequirementJul25!D31</f>
        <v/>
      </c>
      <c r="H31" s="3">
        <f>ConsolidatedMHrequirementJul25!C31</f>
        <v/>
      </c>
      <c r="I31" s="3">
        <f>ConsolidatedMHrequirementJul25!E31</f>
        <v/>
      </c>
      <c r="J31" s="41">
        <f>VLOOKUP(A31,ConsolidatedMHrequirementJul25!$A$4:$I$44,6,FALSE)</f>
        <v/>
      </c>
      <c r="K31" s="41" t="n"/>
      <c r="L31" s="3">
        <f>J31-K31</f>
        <v/>
      </c>
      <c r="M31" s="69">
        <f>ConsolidatedMHrequirementJul25!G31</f>
        <v/>
      </c>
      <c r="N31" s="69" t="n"/>
      <c r="O31" s="69" t="n"/>
      <c r="P31" s="69" t="n"/>
      <c r="Q31" s="69" t="n"/>
      <c r="R31" s="69" t="n"/>
      <c r="S31" s="69" t="n"/>
      <c r="T31" s="69" t="n"/>
      <c r="X31" s="34" t="inlineStr">
        <is>
          <t xml:space="preserve"> </t>
        </is>
      </c>
    </row>
    <row r="32" hidden="1" ht="15" customFormat="1" customHeight="1" s="34">
      <c r="A32" s="10" t="inlineStr">
        <is>
          <t>B653</t>
        </is>
      </c>
      <c r="B32" s="3">
        <f>ConsolidatedMHrequirementJul25!B32</f>
        <v/>
      </c>
      <c r="C32" s="3" t="n"/>
      <c r="D32" s="3" t="n"/>
      <c r="E32" s="3" t="n"/>
      <c r="F32" s="66" t="n"/>
      <c r="G32" s="3">
        <f>ConsolidatedMHrequirementJul25!D32</f>
        <v/>
      </c>
      <c r="H32" s="3">
        <f>ConsolidatedMHrequirementJul25!C32</f>
        <v/>
      </c>
      <c r="I32" s="3">
        <f>ConsolidatedMHrequirementJul25!E32</f>
        <v/>
      </c>
      <c r="J32" s="41">
        <f>VLOOKUP(A32,ConsolidatedMHrequirementJul25!$A$4:$I$44,6,FALSE)</f>
        <v/>
      </c>
      <c r="K32" s="41" t="n"/>
      <c r="L32" s="3">
        <f>J32-K32</f>
        <v/>
      </c>
      <c r="M32" s="69">
        <f>ConsolidatedMHrequirementJul25!G32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hidden="1" ht="14.5" customFormat="1" customHeight="1" s="34">
      <c r="A33" s="10" t="inlineStr">
        <is>
          <t>B725</t>
        </is>
      </c>
      <c r="B33" s="3">
        <f>ConsolidatedMHrequirementJul25!B33</f>
        <v/>
      </c>
      <c r="C33" s="3" t="n"/>
      <c r="D33" s="3" t="n"/>
      <c r="E33" s="3" t="n"/>
      <c r="F33" s="68" t="n"/>
      <c r="G33" s="3">
        <f>ConsolidatedMHrequirementJul25!D33</f>
        <v/>
      </c>
      <c r="H33" s="3">
        <f>ConsolidatedMHrequirementJul25!C33</f>
        <v/>
      </c>
      <c r="I33" s="3">
        <f>ConsolidatedMHrequirementJul25!E33</f>
        <v/>
      </c>
      <c r="J33" s="41">
        <f>VLOOKUP(A33,ConsolidatedMHrequirementJul25!$A$4:$I$44,6,FALSE)</f>
        <v/>
      </c>
      <c r="K33" s="41" t="n"/>
      <c r="L33" s="3">
        <f>J33-K33</f>
        <v/>
      </c>
      <c r="M33" s="69">
        <f>ConsolidatedMHrequirementJul25!G33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hidden="1" ht="14.5" customFormat="1" customHeight="1" s="34">
      <c r="A34" s="10" t="inlineStr">
        <is>
          <t>B767</t>
        </is>
      </c>
      <c r="B34" s="3">
        <f>ConsolidatedMHrequirementJul25!B34</f>
        <v/>
      </c>
      <c r="C34" s="3" t="n"/>
      <c r="D34" s="3" t="n"/>
      <c r="E34" s="3" t="n"/>
      <c r="F34" s="68" t="n"/>
      <c r="G34" s="3">
        <f>ConsolidatedMHrequirementJul25!D34</f>
        <v/>
      </c>
      <c r="H34" s="3">
        <f>ConsolidatedMHrequirementJul25!C34</f>
        <v/>
      </c>
      <c r="I34" s="3">
        <f>ConsolidatedMHrequirementJul25!E34</f>
        <v/>
      </c>
      <c r="J34" s="41">
        <f>VLOOKUP(A34,ConsolidatedMHrequirementJul25!$A$4:$I$44,6,FALSE)</f>
        <v/>
      </c>
      <c r="K34" s="41" t="n"/>
      <c r="L34" s="3">
        <f>J34-K34</f>
        <v/>
      </c>
      <c r="M34" s="69">
        <f>ConsolidatedMHrequirementJul25!G34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idden="1" ht="14.5" customFormat="1" customHeight="1" s="34">
      <c r="A35" s="10" t="inlineStr">
        <is>
          <t>B795</t>
        </is>
      </c>
      <c r="B35" s="3">
        <f>ConsolidatedMHrequirementJul25!B35</f>
        <v/>
      </c>
      <c r="C35" s="3" t="n"/>
      <c r="D35" s="3" t="n"/>
      <c r="E35" s="3" t="n"/>
      <c r="F35" s="68" t="n"/>
      <c r="G35" s="3">
        <f>ConsolidatedMHrequirementJul25!D35</f>
        <v/>
      </c>
      <c r="H35" s="3">
        <f>ConsolidatedMHrequirementJul25!C35</f>
        <v/>
      </c>
      <c r="I35" s="3">
        <f>ConsolidatedMHrequirementJul25!E35</f>
        <v/>
      </c>
      <c r="J35" s="41">
        <f>VLOOKUP(A35,ConsolidatedMHrequirementJul25!$A$4:$I$44,6,FALSE)</f>
        <v/>
      </c>
      <c r="K35" s="41" t="n"/>
      <c r="L35" s="3">
        <f>J35-K35</f>
        <v/>
      </c>
      <c r="M35" s="69">
        <f>ConsolidatedMHrequirementJul25!G35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idden="1" ht="14.5" customFormat="1" customHeight="1" s="34">
      <c r="A36" s="10" t="inlineStr">
        <is>
          <t>B813</t>
        </is>
      </c>
      <c r="B36" s="3">
        <f>ConsolidatedMHrequirementJul25!B36</f>
        <v/>
      </c>
      <c r="C36" s="3" t="n"/>
      <c r="D36" s="3" t="n"/>
      <c r="E36" s="3" t="n"/>
      <c r="F36" s="68" t="n"/>
      <c r="G36" s="3">
        <f>ConsolidatedMHrequirementJul25!D36</f>
        <v/>
      </c>
      <c r="H36" s="3">
        <f>ConsolidatedMHrequirementJul25!C36</f>
        <v/>
      </c>
      <c r="I36" s="3">
        <f>ConsolidatedMHrequirementJul25!E36</f>
        <v/>
      </c>
      <c r="J36" s="41">
        <f>VLOOKUP(A36,ConsolidatedMHrequirementJul25!$A$4:$I$44,6,FALSE)</f>
        <v/>
      </c>
      <c r="K36" s="41" t="n"/>
      <c r="L36" s="3">
        <f>J36-K36</f>
        <v/>
      </c>
      <c r="M36" s="69">
        <f>ConsolidatedMHrequirementJul25!G36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idden="1" ht="14.5" customFormat="1" customHeight="1" s="34">
      <c r="A37" s="10" t="inlineStr">
        <is>
          <t>B861</t>
        </is>
      </c>
      <c r="B37" s="3">
        <f>ConsolidatedMHrequirementJul25!B37</f>
        <v/>
      </c>
      <c r="C37" s="3" t="n"/>
      <c r="D37" s="3" t="n"/>
      <c r="E37" s="3" t="n"/>
      <c r="F37" s="68" t="n"/>
      <c r="G37" s="3">
        <f>ConsolidatedMHrequirementJul25!D37</f>
        <v/>
      </c>
      <c r="H37" s="3">
        <f>ConsolidatedMHrequirementJul25!C37</f>
        <v/>
      </c>
      <c r="I37" s="3">
        <f>ConsolidatedMHrequirementJul25!E37</f>
        <v/>
      </c>
      <c r="J37" s="41">
        <f>VLOOKUP(A37,ConsolidatedMHrequirementJul25!$A$4:$I$44,6,FALSE)</f>
        <v/>
      </c>
      <c r="K37" s="41" t="n"/>
      <c r="L37" s="3">
        <f>J37-K37</f>
        <v/>
      </c>
      <c r="M37" s="69">
        <f>ConsolidatedMHrequirementJul25!G37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idden="1" ht="22" customFormat="1" customHeight="1" s="34">
      <c r="A38" s="10" t="inlineStr">
        <is>
          <t>B862</t>
        </is>
      </c>
      <c r="B38" s="3">
        <f>ConsolidatedMHrequirementJul25!B38</f>
        <v/>
      </c>
      <c r="C38" s="3" t="n"/>
      <c r="D38" s="3" t="n"/>
      <c r="E38" s="3" t="n"/>
      <c r="F38" s="66" t="n"/>
      <c r="G38" s="3">
        <f>ConsolidatedMHrequirementJul25!D38</f>
        <v/>
      </c>
      <c r="H38" s="3">
        <f>ConsolidatedMHrequirementJul25!C38</f>
        <v/>
      </c>
      <c r="I38" s="3">
        <f>ConsolidatedMHrequirementJul25!E38</f>
        <v/>
      </c>
      <c r="J38" s="41">
        <f>VLOOKUP(A38,ConsolidatedMHrequirementJul25!$A$4:$I$44,6,FALSE)</f>
        <v/>
      </c>
      <c r="K38" s="41" t="n"/>
      <c r="L38" s="3">
        <f>J38-K38</f>
        <v/>
      </c>
      <c r="M38" s="69">
        <f>ConsolidatedMHrequirementJul25!G38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idden="1" ht="19" customFormat="1" customHeight="1" s="34">
      <c r="A39" s="10" t="inlineStr">
        <is>
          <t>B865</t>
        </is>
      </c>
      <c r="B39" s="3">
        <f>ConsolidatedMHrequirementJul25!B39</f>
        <v/>
      </c>
      <c r="C39" s="3" t="n"/>
      <c r="D39" s="3" t="n"/>
      <c r="E39" s="3" t="n"/>
      <c r="F39" s="66" t="n"/>
      <c r="G39" s="3">
        <f>ConsolidatedMHrequirementJul25!D39</f>
        <v/>
      </c>
      <c r="H39" s="3">
        <f>ConsolidatedMHrequirementJul25!C39</f>
        <v/>
      </c>
      <c r="I39" s="3">
        <f>ConsolidatedMHrequirementJul25!E39</f>
        <v/>
      </c>
      <c r="J39" s="41">
        <f>VLOOKUP(A39,ConsolidatedMHrequirementJul25!$A$4:$I$44,6,FALSE)</f>
        <v/>
      </c>
      <c r="K39" s="44" t="n"/>
      <c r="L39" s="3">
        <f>J39-K39</f>
        <v/>
      </c>
      <c r="M39" s="69">
        <f>ConsolidatedMHrequirementJul25!G39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idden="1" ht="20" customFormat="1" customHeight="1" s="34">
      <c r="A40" s="10" t="inlineStr">
        <is>
          <t>B903</t>
        </is>
      </c>
      <c r="B40" s="3">
        <f>ConsolidatedMHrequirementJul25!B40</f>
        <v/>
      </c>
      <c r="C40" s="3" t="n"/>
      <c r="D40" s="3" t="n"/>
      <c r="E40" s="3" t="n"/>
      <c r="F40" s="66" t="n"/>
      <c r="G40" s="3">
        <f>ConsolidatedMHrequirementJul25!D40</f>
        <v/>
      </c>
      <c r="H40" s="3">
        <f>ConsolidatedMHrequirementJul25!C40</f>
        <v/>
      </c>
      <c r="I40" s="3">
        <f>ConsolidatedMHrequirementJul25!E40</f>
        <v/>
      </c>
      <c r="J40" s="41">
        <f>VLOOKUP(A40,ConsolidatedMHrequirementJul25!$A$4:$I$44,6,FALSE)</f>
        <v/>
      </c>
      <c r="K40" s="44" t="n">
        <v>18</v>
      </c>
      <c r="L40" s="3">
        <f>J40-K40</f>
        <v/>
      </c>
      <c r="M40" s="69">
        <f>ConsolidatedMHrequirementJul25!G40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idden="1" customFormat="1" s="34">
      <c r="A41" s="10" t="inlineStr">
        <is>
          <t>B904</t>
        </is>
      </c>
      <c r="B41" s="3">
        <f>ConsolidatedMHrequirementJul25!B41</f>
        <v/>
      </c>
      <c r="C41" s="41" t="n"/>
      <c r="D41" s="41" t="n"/>
      <c r="E41" s="41" t="n"/>
      <c r="F41" s="54" t="n"/>
      <c r="G41" s="3">
        <f>ConsolidatedMHrequirementJul25!D41</f>
        <v/>
      </c>
      <c r="H41" s="3">
        <f>ConsolidatedMHrequirementJul25!C41</f>
        <v/>
      </c>
      <c r="I41" s="3">
        <f>ConsolidatedMHrequirementJul25!E41</f>
        <v/>
      </c>
      <c r="J41" s="41">
        <f>VLOOKUP(A41,ConsolidatedMHrequirementJul25!$A$4:$I$44,6,FALSE)</f>
        <v/>
      </c>
      <c r="K41" s="41" t="n">
        <v>8</v>
      </c>
      <c r="L41" s="3">
        <f>J41-K41</f>
        <v/>
      </c>
      <c r="M41" s="69">
        <f>ConsolidatedMHrequirementJul25!G41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idden="1" customFormat="1" s="34">
      <c r="A42" s="10" t="inlineStr">
        <is>
          <t>B933</t>
        </is>
      </c>
      <c r="B42" s="3">
        <f>ConsolidatedMHrequirementJul25!B42</f>
        <v/>
      </c>
      <c r="C42" s="41" t="n"/>
      <c r="D42" s="41" t="n"/>
      <c r="E42" s="41" t="n"/>
      <c r="F42" s="54" t="n"/>
      <c r="G42" s="3">
        <f>ConsolidatedMHrequirementJul25!D42</f>
        <v/>
      </c>
      <c r="H42" s="3">
        <f>ConsolidatedMHrequirementJul25!C42</f>
        <v/>
      </c>
      <c r="I42" s="3">
        <f>ConsolidatedMHrequirementJul25!E42</f>
        <v/>
      </c>
      <c r="J42" s="41">
        <f>VLOOKUP(A42,ConsolidatedMHrequirementJul25!$A$4:$I$44,6,FALSE)</f>
        <v/>
      </c>
      <c r="K42" s="41" t="n">
        <v>8</v>
      </c>
      <c r="L42" s="3">
        <f>J42-K42</f>
        <v/>
      </c>
      <c r="M42" s="69">
        <f>ConsolidatedMHrequirementJul25!G42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idden="1" customFormat="1" s="34">
      <c r="A43" s="10" t="inlineStr">
        <is>
          <t>C007</t>
        </is>
      </c>
      <c r="B43" s="3">
        <f>ConsolidatedMHrequirementJul25!B43</f>
        <v/>
      </c>
      <c r="C43" s="41" t="n"/>
      <c r="D43" s="41" t="n"/>
      <c r="E43" s="41" t="n"/>
      <c r="F43" s="54" t="n"/>
      <c r="G43" s="3">
        <f>ConsolidatedMHrequirementJul25!D43</f>
        <v/>
      </c>
      <c r="H43" s="3">
        <f>ConsolidatedMHrequirementJul25!C43</f>
        <v/>
      </c>
      <c r="I43" s="3">
        <f>ConsolidatedMHrequirementJul25!E43</f>
        <v/>
      </c>
      <c r="J43" s="41">
        <f>VLOOKUP(A43,ConsolidatedMHrequirementJul25!$A$4:$I$44,6,FALSE)</f>
        <v/>
      </c>
      <c r="K43" s="41" t="n"/>
      <c r="L43" s="3" t="n"/>
      <c r="M43" s="69">
        <f>ConsolidatedMHrequirementJul25!G43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idden="1" s="125">
      <c r="A44" s="3" t="inlineStr">
        <is>
          <t>Leave</t>
        </is>
      </c>
      <c r="B44" s="3">
        <f>ConsolidatedMHrequirementJul25!B44</f>
        <v/>
      </c>
      <c r="C44" s="3" t="n"/>
      <c r="D44" s="3" t="n"/>
      <c r="E44" s="3" t="n"/>
      <c r="F44" s="3" t="n"/>
      <c r="G44" s="3">
        <f>ConsolidatedMHrequirementJul25!D44</f>
        <v/>
      </c>
      <c r="H44" s="3">
        <f>ConsolidatedMHrequirementJul25!C44</f>
        <v/>
      </c>
      <c r="I44" s="3">
        <f>ConsolidatedMHrequirementJul25!E44</f>
        <v/>
      </c>
      <c r="J44" s="41">
        <f>VLOOKUP(A44,ConsolidatedMHrequirementJul25!$A$4:$I$44,6,FALSE)</f>
        <v/>
      </c>
      <c r="K44" s="41" t="n">
        <v>56</v>
      </c>
      <c r="L44" s="3">
        <f>J44-K44</f>
        <v/>
      </c>
      <c r="M44" s="69">
        <f>ConsolidatedMHrequirementJul25!G44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idden="1" s="125">
      <c r="A45" s="3" t="inlineStr">
        <is>
          <t>Total</t>
        </is>
      </c>
      <c r="B45" s="3" t="n"/>
      <c r="C45" s="3" t="n"/>
      <c r="D45" s="3" t="n"/>
      <c r="E45" s="3" t="n"/>
      <c r="F45" s="3" t="n"/>
      <c r="G45" s="3">
        <f>ConsolidatedMHrequirementJul25!D45</f>
        <v/>
      </c>
      <c r="H45" s="3">
        <f>ConsolidatedMHrequirementJul25!C45</f>
        <v/>
      </c>
      <c r="I45" s="3">
        <f>ConsolidatedMHrequirementJul25!E45</f>
        <v/>
      </c>
      <c r="J45" s="41">
        <f>VLOOKUP(A45,ConsolidatedMHrequirementJul25!$A$4:$I$45,6,FALSE)</f>
        <v/>
      </c>
      <c r="K45" s="3">
        <f>SUM(K4:K44)</f>
        <v/>
      </c>
      <c r="L45" s="3">
        <f>SUM(L4:L44)</f>
        <v/>
      </c>
    </row>
    <row r="46">
      <c r="A46" s="55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55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24" t="inlineStr">
        <is>
          <t xml:space="preserve">Guidelines : 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</row>
    <row r="49">
      <c r="A49" s="26" t="inlineStr">
        <is>
          <t>1. Inspection Visit including review and endorsement of final documents: At  actual</t>
        </is>
      </c>
      <c r="B49" s="26" t="n"/>
    </row>
    <row r="50">
      <c r="A50" s="26" t="inlineStr">
        <is>
          <t xml:space="preserve">2. Expediting and preparation of expediting report: Average 2 hours /month /order ( No separate man hours for coordination ) </t>
        </is>
      </c>
    </row>
    <row r="51">
      <c r="A51" s="26" t="inlineStr">
        <is>
          <t xml:space="preserve">3. Expediting visit/ Attending meeting with project/.Client: At  actual </t>
        </is>
      </c>
    </row>
    <row r="52">
      <c r="A52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3">
      <c r="A53" s="26" t="inlineStr">
        <is>
          <t xml:space="preserve">5. Review of ITP for Equipment (Mechanical and Electrical/DCS etc): Average 2 hours/order </t>
        </is>
      </c>
    </row>
    <row r="54">
      <c r="A54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5">
      <c r="A55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6">
      <c r="A56" s="26" t="inlineStr">
        <is>
          <t xml:space="preserve">8. Order Closing report: Average 2 hours/Order  </t>
        </is>
      </c>
    </row>
  </sheetData>
  <autoFilter ref="A3:L45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pageMargins left="0.7" right="0.7" top="0.75" bottom="0.75" header="0.3" footer="0.3"/>
  <pageSetup orientation="landscape" scale="7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9"/>
  <sheetViews>
    <sheetView topLeftCell="A17" zoomScale="85" zoomScaleNormal="85" workbookViewId="0">
      <selection activeCell="G17" sqref="G17"/>
    </sheetView>
  </sheetViews>
  <sheetFormatPr baseColWidth="8" defaultRowHeight="14.5"/>
  <cols>
    <col width="12.453125" customWidth="1" style="4" min="1" max="1"/>
    <col width="10.54296875" customWidth="1" style="125" min="2" max="2"/>
    <col width="17.08984375" customWidth="1" style="125" min="9" max="9"/>
    <col width="15" customWidth="1" style="125" min="13" max="15"/>
  </cols>
  <sheetData>
    <row r="1">
      <c r="A1" s="118" t="inlineStr">
        <is>
          <t>Consolidated man hour requirement  for Aug'25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>
      <c r="A2" s="52">
        <f>(19*8*6)</f>
        <v/>
      </c>
      <c r="B2" s="111" t="n"/>
      <c r="C2" s="111" t="n"/>
      <c r="D2" s="111" t="n"/>
      <c r="E2" s="111" t="n"/>
      <c r="F2" s="111" t="n"/>
      <c r="G2" s="111" t="n"/>
      <c r="H2" s="111" t="n"/>
      <c r="I2" s="112" t="n"/>
      <c r="J2" s="1" t="n"/>
      <c r="K2" s="111" t="n"/>
      <c r="L2" s="111" t="n"/>
      <c r="M2" s="112" t="n"/>
    </row>
    <row r="3" ht="41.25" customHeight="1" s="125">
      <c r="A3" s="3" t="inlineStr">
        <is>
          <t>Job No</t>
        </is>
      </c>
      <c r="B3" s="3" t="inlineStr">
        <is>
          <t>No. of orders</t>
        </is>
      </c>
      <c r="C3" s="3" t="inlineStr">
        <is>
          <t>Exp.</t>
        </is>
      </c>
      <c r="D3" s="3" t="inlineStr">
        <is>
          <t>Inspn</t>
        </is>
      </c>
      <c r="E3" s="9" t="inlineStr">
        <is>
          <t>Others</t>
        </is>
      </c>
      <c r="F3" s="3" t="inlineStr">
        <is>
          <t>Total</t>
        </is>
      </c>
      <c r="G3" s="1" t="inlineStr">
        <is>
          <t>*Others/ Remarks</t>
        </is>
      </c>
      <c r="H3" s="111" t="n"/>
      <c r="I3" s="112" t="n"/>
      <c r="J3" s="110" t="inlineStr">
        <is>
          <t>Insp/ Project Coordinators</t>
        </is>
      </c>
      <c r="K3" s="111" t="n"/>
      <c r="L3" s="111" t="n"/>
      <c r="M3" s="112" t="n"/>
      <c r="N3" s="2" t="inlineStr">
        <is>
          <t xml:space="preserve">MH available as on </t>
        </is>
      </c>
      <c r="O3" s="5" t="inlineStr">
        <is>
          <t>MH to be released for Aug'25</t>
        </is>
      </c>
      <c r="P3" t="inlineStr">
        <is>
          <t>Allotted</t>
        </is>
      </c>
      <c r="Q3" t="inlineStr">
        <is>
          <t>8518 reqd</t>
        </is>
      </c>
    </row>
    <row r="4" ht="51.5" customHeight="1" s="125">
      <c r="A4" s="3" t="n">
        <v>4994</v>
      </c>
      <c r="B4" s="3" t="n">
        <v>3</v>
      </c>
      <c r="C4" s="3" t="n"/>
      <c r="D4" s="3" t="n"/>
      <c r="E4" s="9">
        <f>8*B4</f>
        <v/>
      </c>
      <c r="F4" s="3">
        <f>SUM(C4:E4)</f>
        <v/>
      </c>
      <c r="G4" s="62" t="inlineStr">
        <is>
          <t>Reval:Gita Refrac, Schneider(16h),Enh:Tmeic(8h);24h rel on 19/9[4430]</t>
        </is>
      </c>
      <c r="H4" s="63" t="n"/>
      <c r="I4" s="64" t="n"/>
      <c r="J4" s="110" t="inlineStr">
        <is>
          <t>Rajesh Sinha</t>
        </is>
      </c>
      <c r="K4" s="111" t="n"/>
      <c r="L4" s="111" t="n"/>
      <c r="M4" s="112" t="n"/>
      <c r="N4" s="3" t="n">
        <v>0</v>
      </c>
      <c r="O4" s="3" t="n">
        <v>32</v>
      </c>
      <c r="P4" t="n">
        <v>0</v>
      </c>
      <c r="Q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</t>
        </is>
      </c>
    </row>
    <row r="5" ht="46" customHeight="1" s="125">
      <c r="A5" s="3" t="n">
        <v>6979</v>
      </c>
      <c r="B5" s="3" t="n"/>
      <c r="C5" s="3" t="n"/>
      <c r="D5" s="3" t="n"/>
      <c r="E5" s="9" t="n"/>
      <c r="F5" s="3" t="n">
        <v>0</v>
      </c>
      <c r="G5" s="56" t="n"/>
      <c r="H5" s="56" t="n"/>
      <c r="I5" s="56" t="n"/>
      <c r="J5" s="110" t="n"/>
      <c r="K5" s="111" t="n"/>
      <c r="L5" s="111" t="n"/>
      <c r="M5" s="112" t="n"/>
      <c r="N5" s="3" t="n"/>
      <c r="O5" s="3" t="n"/>
      <c r="Q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>
        <v>0</v>
      </c>
      <c r="E6" s="9">
        <f>8*0</f>
        <v/>
      </c>
      <c r="F6" s="3">
        <f>SUM(C6:E6)</f>
        <v/>
      </c>
      <c r="G6" s="62" t="n"/>
      <c r="H6" s="63" t="n"/>
      <c r="I6" s="64" t="n"/>
      <c r="J6" s="110" t="inlineStr">
        <is>
          <t>Sanjeev Kumar/ Yatendra Agrawal - EIB Renovation</t>
        </is>
      </c>
      <c r="K6" s="111" t="n"/>
      <c r="L6" s="111" t="n"/>
      <c r="M6" s="112" t="n"/>
      <c r="N6" s="3" t="n"/>
      <c r="O6" s="3" t="n"/>
      <c r="P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>
        <v>0</v>
      </c>
      <c r="D7" s="3" t="n">
        <v>0</v>
      </c>
      <c r="E7" s="9" t="n"/>
      <c r="F7" s="3" t="n">
        <v>200</v>
      </c>
      <c r="G7" s="62" t="inlineStr">
        <is>
          <t>Admin works,Insp Guidelines/Typ Test review/ITP revision(E&amp;I ITPS)/Std. Spec review,other miscellaneous works incl. Dept Mktg leads; Hosp Nomination;Capex Requirements for Off. &amp; GH, Vehicle Hiring Contract-301h bkd by US</t>
        </is>
      </c>
      <c r="H7" s="63" t="n"/>
      <c r="I7" s="64" t="n"/>
      <c r="J7" s="110" t="inlineStr">
        <is>
          <t xml:space="preserve"> Tech Develop &amp; OH</t>
        </is>
      </c>
      <c r="K7" s="111" t="n"/>
      <c r="L7" s="111" t="n"/>
      <c r="M7" s="112" t="n"/>
      <c r="N7" s="3" t="n">
        <v>300</v>
      </c>
      <c r="O7" s="3" t="n"/>
      <c r="Q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25/7[19998];2200h rel on 12/9[22198] to tk care of US TS compln.-301h bkd by US;bal:1169h avl</t>
        </is>
      </c>
    </row>
    <row r="8" ht="123" customHeight="1" s="125">
      <c r="A8" s="3" t="n">
        <v>8590</v>
      </c>
      <c r="B8" s="3" t="n"/>
      <c r="C8" s="3" t="n">
        <v>16</v>
      </c>
      <c r="D8" s="3" t="n">
        <v>0</v>
      </c>
      <c r="E8" s="9" t="n"/>
      <c r="F8" s="3" t="n">
        <v>16</v>
      </c>
      <c r="G8" s="126" t="inlineStr">
        <is>
          <t>Prostarm/HBL Batteries Review &amp; IRN endorsement - 12,13/8 - 16h rel on 25/8[179]</t>
        </is>
      </c>
      <c r="H8" s="111" t="n"/>
      <c r="I8" s="112" t="n"/>
      <c r="J8" s="110" t="n"/>
      <c r="K8" s="111" t="n"/>
      <c r="L8" s="111" t="n"/>
      <c r="M8" s="112" t="n"/>
      <c r="N8" s="3" t="n"/>
      <c r="O8" s="3" t="n"/>
    </row>
    <row r="9" ht="41.25" customHeight="1" s="125">
      <c r="A9" s="3" t="inlineStr">
        <is>
          <t>B016</t>
        </is>
      </c>
      <c r="B9" s="3" t="n">
        <v>0</v>
      </c>
      <c r="C9" s="3" t="n">
        <v>0</v>
      </c>
      <c r="D9" s="3" t="n"/>
      <c r="E9" s="9" t="n">
        <v>0</v>
      </c>
      <c r="F9" s="3" t="n">
        <v>0</v>
      </c>
      <c r="G9" s="57" t="inlineStr">
        <is>
          <t xml:space="preserve"> </t>
        </is>
      </c>
      <c r="H9" s="58" t="inlineStr">
        <is>
          <t xml:space="preserve"> </t>
        </is>
      </c>
      <c r="I9" s="59" t="inlineStr">
        <is>
          <t xml:space="preserve"> </t>
        </is>
      </c>
      <c r="J9" s="110" t="inlineStr">
        <is>
          <t>Uday Pratap Singh/Pankaj Saxena/Alok Singh</t>
        </is>
      </c>
      <c r="K9" s="111" t="n"/>
      <c r="L9" s="111" t="n"/>
      <c r="M9" s="112" t="n"/>
      <c r="N9" s="2" t="n"/>
      <c r="O9" s="5" t="n"/>
      <c r="Q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1</v>
      </c>
      <c r="C10" s="3">
        <f>1*8</f>
        <v/>
      </c>
      <c r="D10" s="3" t="n">
        <v>0</v>
      </c>
      <c r="E10" s="12" t="n">
        <v>0</v>
      </c>
      <c r="F10" s="3">
        <f>C10+D10+E10</f>
        <v/>
      </c>
      <c r="G10" s="126" t="inlineStr">
        <is>
          <t>Expediting - Greensol; 24h rel on 27/10[1677]</t>
        </is>
      </c>
      <c r="H10" s="111" t="n"/>
      <c r="I10" s="112" t="n"/>
      <c r="J10" s="110" t="inlineStr">
        <is>
          <t>Saeed Akhtar/ D Jana</t>
        </is>
      </c>
      <c r="K10" s="111" t="n"/>
      <c r="L10" s="111" t="n"/>
      <c r="M10" s="112" t="n"/>
      <c r="N10" s="3" t="n">
        <v>0</v>
      </c>
      <c r="O10" s="3">
        <f>F10-N10</f>
        <v/>
      </c>
      <c r="P10" t="inlineStr">
        <is>
          <t xml:space="preserve"> </t>
        </is>
      </c>
      <c r="Q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>
        <f>2*B11</f>
        <v/>
      </c>
      <c r="D11" s="3" t="n">
        <v>0</v>
      </c>
      <c r="E11" s="9" t="n">
        <v>0</v>
      </c>
      <c r="F11" s="3">
        <f>C11+D11+E11</f>
        <v/>
      </c>
      <c r="G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H11" s="111" t="n"/>
      <c r="I11" s="112" t="n"/>
      <c r="J11" s="110" t="inlineStr">
        <is>
          <t>Himanghsu Pal/Sanjeev Kumar/Aasheesh Handa</t>
        </is>
      </c>
      <c r="K11" s="111" t="n"/>
      <c r="L11" s="111" t="n"/>
      <c r="M11" s="112" t="n"/>
      <c r="N11" s="3" t="n">
        <v>0</v>
      </c>
      <c r="O11" s="3">
        <f>F11-N11</f>
        <v/>
      </c>
      <c r="Q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1</v>
      </c>
      <c r="C12" s="3" t="n">
        <v>0</v>
      </c>
      <c r="D12" s="3" t="n"/>
      <c r="E12" s="9" t="n"/>
      <c r="F12" s="3" t="n">
        <v>0</v>
      </c>
      <c r="G12" s="56" t="inlineStr">
        <is>
          <t xml:space="preserve"> </t>
        </is>
      </c>
      <c r="H12" s="60" t="n"/>
      <c r="I12" s="61" t="n"/>
      <c r="J12" s="110" t="inlineStr">
        <is>
          <t>Patra/Sanjay Dhuria</t>
        </is>
      </c>
      <c r="K12" s="111" t="n"/>
      <c r="L12" s="111" t="n"/>
      <c r="M12" s="112" t="n"/>
      <c r="N12" s="3" t="n"/>
      <c r="O12" s="3" t="n"/>
      <c r="Q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>
        <f>8*0</f>
        <v/>
      </c>
      <c r="D13" s="3">
        <f>8*0</f>
        <v/>
      </c>
      <c r="E13" s="3">
        <f>8*32</f>
        <v/>
      </c>
      <c r="F13" s="3">
        <f>SUM(C13:E13)</f>
        <v/>
      </c>
      <c r="G13" s="62" t="inlineStr">
        <is>
          <t>Insp: Afcons/Emerson/FCRI-USM-26/8;Megha/YIL-SRU DCS FAT-11-13/8;Megha/Emerson-Mag FM-FCRI-1/8;ABB-Analysers-6/8(1d);VV controls - Panels-21-23/8(2d);Megha/ABB-O2 Anal-5/8(1d);Megha/Meher-Ser.Reactor-4/8,Siemens/Southern Lub - LOS-13,14/8(2d);Megha/ABB-Drives-7,8/8(2d);Megha/Hitachi-Capacitor-11,12/8(2d);KSBMIL-Control Valves-11,12,18-21/8(3d);Afcons/FCRI-(1d);Megha/TDPS-Gen-22,23/8-(2d);Doc Rev: Tmeic Motors-21/8;MEIL-SLLDPE/PPU/Pkg9/Pkg10, Elec &amp; Inst. QAPs-SCAP-9/8;Vertiv-6/8;Emerson-8/8;KSBMIL-CV+DSH-5/8;YIL-HHC-5/8;CO/SOx Anal-7,8,KSBMIL-3QAPs(-13/8;Emerson-LT-30/8;CGL-Power Cabl-22/8;Flexpro-JB-20/8;Chabi -Batt Ch.-22/8;KSBMIL-CV-26/8;Suyog-Cables-29/8;(15nos)-(8d)</t>
        </is>
      </c>
      <c r="H13" s="92" t="n"/>
      <c r="I13" s="64" t="n"/>
      <c r="J13" s="110" t="inlineStr">
        <is>
          <t>Mr Dipak Panchal / Mr Sunil Saurabh/ Mr R.K.Mohabe/Neena Mukherjee</t>
        </is>
      </c>
      <c r="K13" s="111" t="n"/>
      <c r="L13" s="111" t="n"/>
      <c r="M13" s="112" t="n"/>
      <c r="N13" s="3" t="n">
        <v>0</v>
      </c>
      <c r="O13" s="3" t="n">
        <v>56</v>
      </c>
      <c r="Q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>
        <f>2*B14</f>
        <v/>
      </c>
      <c r="D14" s="3" t="n"/>
      <c r="E14" s="9" t="n">
        <v>0</v>
      </c>
      <c r="F14" s="3">
        <f>SUM(C14:E14)</f>
        <v/>
      </c>
      <c r="G14" s="62" t="n"/>
      <c r="H14" s="63" t="n"/>
      <c r="I14" s="64" t="n"/>
      <c r="J14" s="110" t="inlineStr">
        <is>
          <t>Patra/JPS Kalra/DK Kesri</t>
        </is>
      </c>
      <c r="K14" s="111" t="n"/>
      <c r="L14" s="111" t="n"/>
      <c r="M14" s="112" t="n"/>
      <c r="N14" s="3" t="n"/>
      <c r="O14" s="3" t="n"/>
      <c r="Q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18</v>
      </c>
      <c r="C15" s="3">
        <f>2*B15+4*2</f>
        <v/>
      </c>
      <c r="D15" s="3">
        <f>8*3</f>
        <v/>
      </c>
      <c r="E15" s="9">
        <f>8*2</f>
        <v/>
      </c>
      <c r="F15" s="3">
        <f>SUM(C15:E15)</f>
        <v/>
      </c>
      <c r="G15" s="93" t="inlineStr">
        <is>
          <t>13 running orders+ 4Orders FD sub expediting+1OCS; Critical Item Insp - YIL- U&amp;O FAT- 4-6/8-(3d); BDK visit- (1d) for expediting rectification/replacement of valves recd.frm site;Weekly VC with BDK -(2d); 30mh rel on 10/10[1730]</t>
        </is>
      </c>
      <c r="H15" s="63" t="n"/>
      <c r="I15" s="64" t="n"/>
      <c r="J15" s="110" t="inlineStr">
        <is>
          <t>Chandrashekhar/Rajesh Bhatla/Arun Singh Arya/Sanjay Chaudhary</t>
        </is>
      </c>
      <c r="K15" s="111" t="n"/>
      <c r="L15" s="111" t="n"/>
      <c r="M15" s="112" t="n"/>
      <c r="N15" s="3" t="n">
        <v>0</v>
      </c>
      <c r="O15" s="3" t="n"/>
      <c r="Q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11/7[1656];44h rel on 12/8[1700]</t>
        </is>
      </c>
    </row>
    <row r="16" ht="51.5" customHeight="1" s="125">
      <c r="A16" s="10" t="inlineStr">
        <is>
          <t>B285</t>
        </is>
      </c>
      <c r="B16" s="3" t="n"/>
      <c r="C16" s="3" t="n"/>
      <c r="D16" s="3" t="n"/>
      <c r="E16" s="9" t="n"/>
      <c r="F16" s="3" t="n">
        <v>0</v>
      </c>
      <c r="G16" s="56" t="inlineStr">
        <is>
          <t xml:space="preserve"> </t>
        </is>
      </c>
      <c r="H16" s="60" t="n"/>
      <c r="I16" s="61" t="n"/>
      <c r="J16" s="110" t="inlineStr">
        <is>
          <t>Sanjeev Kumar/Vikalp Paliwal</t>
        </is>
      </c>
      <c r="K16" s="111" t="n"/>
      <c r="L16" s="111" t="n"/>
      <c r="M16" s="112" t="n"/>
      <c r="N16" s="3" t="n"/>
      <c r="O16" s="3" t="n"/>
    </row>
    <row r="17" ht="112" customHeight="1" s="125">
      <c r="A17" s="10" t="inlineStr">
        <is>
          <t>B297</t>
        </is>
      </c>
      <c r="B17" s="3" t="n">
        <v>5</v>
      </c>
      <c r="C17" s="3">
        <f>2*B17+4</f>
        <v/>
      </c>
      <c r="D17" s="3">
        <f>8*0</f>
        <v/>
      </c>
      <c r="E17" s="9">
        <f>8*0</f>
        <v/>
      </c>
      <c r="F17" s="3">
        <f>SUM(C17:E17)</f>
        <v/>
      </c>
      <c r="G17" s="62" t="inlineStr">
        <is>
          <t xml:space="preserve">Exp-5 ord-1 runn ord, 4-FD sub exp Insp: </t>
        </is>
      </c>
      <c r="H17" s="63" t="n"/>
      <c r="I17" s="64" t="n"/>
      <c r="J17" s="110" t="inlineStr">
        <is>
          <t>Chandrashekar/NS Vasudev/Manish Tiwari - GAIL Pata</t>
        </is>
      </c>
      <c r="K17" s="111" t="n"/>
      <c r="L17" s="111" t="n"/>
      <c r="M17" s="112" t="n"/>
      <c r="N17" s="3" t="n">
        <v>10</v>
      </c>
      <c r="O17" s="3" t="n"/>
      <c r="Q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4</v>
      </c>
      <c r="C18" s="3">
        <f>2*4+4*2</f>
        <v/>
      </c>
      <c r="D18" s="3">
        <f>8*5</f>
        <v/>
      </c>
      <c r="E18" s="9">
        <f>8*0.5</f>
        <v/>
      </c>
      <c r="F18" s="3">
        <f>SUM(C18:E18)</f>
        <v/>
      </c>
      <c r="G18" s="62" t="inlineStr">
        <is>
          <t>4 (incl. 1 OCS) ;6873-KEPL/TMEIC-Drives insp-18-21,28/8(4d);Fluidyne/Auma -26/8(1d);Doc rev: 103-PLC QAP rev -30/8(0.5d);</t>
        </is>
      </c>
      <c r="H18" s="63" t="n"/>
      <c r="I18" s="64" t="n"/>
      <c r="J18" s="110" t="inlineStr">
        <is>
          <t>Suresh/D Jana(302-1)/Sivakumar(302-2)/Abhishek Rai/Balbir Singh (01-P/L &amp; 02- COT) - pump order - 02; FOA also to incl. Unit no for correlation</t>
        </is>
      </c>
      <c r="K18" s="111" t="n"/>
      <c r="L18" s="111" t="n"/>
      <c r="M18" s="112" t="n"/>
      <c r="N18" s="3" t="n"/>
      <c r="O18" s="3" t="n"/>
      <c r="Q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11</v>
      </c>
      <c r="C19" s="3">
        <f>2*B19+2*2</f>
        <v/>
      </c>
      <c r="D19" s="3" t="n">
        <v>0</v>
      </c>
      <c r="E19" s="9" t="n">
        <v>0</v>
      </c>
      <c r="F19" s="3">
        <f>SUM(C19:E19)</f>
        <v/>
      </c>
      <c r="G19" s="62" t="inlineStr">
        <is>
          <t>10 orders incl. 6 FD exp.+1OCS;26h rel on 30/9[232]</t>
        </is>
      </c>
      <c r="H19" s="62" t="n"/>
      <c r="I19" s="62" t="n"/>
      <c r="J19" s="110" t="inlineStr">
        <is>
          <t>Himangshu/Sanjeev Kumar/Lavish/HarshVardhan</t>
        </is>
      </c>
      <c r="K19" s="111" t="n"/>
      <c r="L19" s="111" t="n"/>
      <c r="M19" s="112" t="n"/>
      <c r="N19" s="3" t="n">
        <v>1</v>
      </c>
      <c r="O19" s="3" t="n"/>
      <c r="Q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15/4[162];26h rel on 30/9[232]</t>
        </is>
      </c>
    </row>
    <row r="20" ht="83.5" customHeight="1" s="125">
      <c r="A20" s="3" t="inlineStr">
        <is>
          <t>B359</t>
        </is>
      </c>
      <c r="B20" s="3" t="n"/>
      <c r="C20" s="3" t="n"/>
      <c r="D20" s="3" t="n">
        <v>0</v>
      </c>
      <c r="E20" s="9" t="n">
        <v>0</v>
      </c>
      <c r="F20" s="3">
        <f>SUM(C20:E20)</f>
        <v/>
      </c>
      <c r="G20" s="62" t="inlineStr">
        <is>
          <t xml:space="preserve"> </t>
        </is>
      </c>
      <c r="H20" s="62" t="n"/>
      <c r="I20" s="62" t="n"/>
      <c r="J20" s="110" t="inlineStr">
        <is>
          <t>Chandrashekhar/Sumanta Mondal/Abhishek/Sarvesh Kumar</t>
        </is>
      </c>
      <c r="K20" s="111" t="n"/>
      <c r="L20" s="111" t="n"/>
      <c r="M20" s="112" t="n"/>
      <c r="N20" s="3" t="n"/>
      <c r="O20" s="3" t="n"/>
      <c r="Q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s="3" t="n">
        <v>22</v>
      </c>
      <c r="C21" s="3">
        <f>2*B21+2*4</f>
        <v/>
      </c>
      <c r="D21" s="3">
        <f>8*7</f>
        <v/>
      </c>
      <c r="E21" s="9">
        <f>8*1</f>
        <v/>
      </c>
      <c r="F21" s="3">
        <f>SUM(C21:E21)</f>
        <v/>
      </c>
      <c r="G21" s="62" t="inlineStr">
        <is>
          <t xml:space="preserve"> 21 ord Expediting(incl  10ord FD sub exp)+1OCS;Coordination/resolution of site issues-(1d); Inspn: ABB-ECS FAT-25,26&amp;doc rev 29/8(3d);Anal-14/8(1d);KSBMIL (816)-11,12 &amp; 25/8(3d);Paramount/C&amp;S-Doc rev/IRN end-11/8(1d);116mh rel on 17/9[4782]</t>
        </is>
      </c>
      <c r="H21" s="62" t="n"/>
      <c r="I21" s="62" t="n"/>
      <c r="J21" s="110" t="inlineStr">
        <is>
          <t>Chandrashekhar/Sumanta Mondal/Ajay Gupta/Rajeev Kr Khandelwal/Prakash Jagarwal/Deepak Dinkar -GAIL Usar</t>
        </is>
      </c>
      <c r="K21" s="111" t="n"/>
      <c r="L21" s="111" t="n"/>
      <c r="M21" s="112" t="n"/>
      <c r="N21" s="3" t="n">
        <v>0</v>
      </c>
      <c r="O21" s="3" t="n"/>
      <c r="Q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</t>
        </is>
      </c>
    </row>
    <row r="22" ht="83.5" customHeight="1" s="125">
      <c r="A22" s="10" t="inlineStr">
        <is>
          <t>B414</t>
        </is>
      </c>
      <c r="B22" s="3" t="n">
        <v>4</v>
      </c>
      <c r="C22" s="3">
        <f>2*B22+1*4</f>
        <v/>
      </c>
      <c r="D22" s="3">
        <f>8*0</f>
        <v/>
      </c>
      <c r="E22" s="9">
        <f>8*1.5</f>
        <v/>
      </c>
      <c r="F22" s="3">
        <f>SUM(C22:E22)</f>
        <v/>
      </c>
      <c r="G22" s="62" t="inlineStr">
        <is>
          <t>4 orders - FD expediting;  Insp: ; Doc rev: Pace process/Universal Capac.pkg  QAP appls.-3 nos (1.5d);</t>
        </is>
      </c>
      <c r="H22" s="62" t="n"/>
      <c r="I22" s="62" t="n"/>
      <c r="J22" s="110" t="inlineStr">
        <is>
          <t>Himangshu Pal/ Shnaoli Nath</t>
        </is>
      </c>
      <c r="K22" s="111" t="n"/>
      <c r="L22" s="111" t="n"/>
      <c r="M22" s="112" t="n"/>
      <c r="N22" s="3" t="n"/>
      <c r="O22" s="3" t="n"/>
      <c r="Q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3" ht="83.5" customHeight="1" s="125">
      <c r="A23" s="10" t="inlineStr">
        <is>
          <t>B436</t>
        </is>
      </c>
      <c r="B23" s="3" t="n">
        <v>1</v>
      </c>
      <c r="C23" s="3" t="n">
        <v>0</v>
      </c>
      <c r="D23" s="3" t="n">
        <v>0</v>
      </c>
      <c r="E23" s="9" t="n">
        <v>0</v>
      </c>
      <c r="F23" s="3">
        <f>SUM(C23:E23)</f>
        <v/>
      </c>
      <c r="G23" s="62" t="inlineStr">
        <is>
          <t xml:space="preserve">SCADA order on ABB </t>
        </is>
      </c>
      <c r="H23" s="62" t="n"/>
      <c r="I23" s="62" t="n"/>
      <c r="J23" s="110" t="inlineStr">
        <is>
          <t>T Ravi/Sangram Mishra/NS Vasudev</t>
        </is>
      </c>
      <c r="K23" s="111" t="n"/>
      <c r="L23" s="111" t="n"/>
      <c r="M23" s="112" t="n"/>
      <c r="N23" s="3" t="n"/>
      <c r="O23" s="3" t="n"/>
      <c r="P23" t="inlineStr">
        <is>
          <t>10h rel on 22/5;26h rel on 12/10[38]</t>
        </is>
      </c>
    </row>
    <row r="24" ht="121.5" customHeight="1" s="125">
      <c r="A24" s="10" t="inlineStr">
        <is>
          <t>B440</t>
        </is>
      </c>
      <c r="B24" s="3" t="n">
        <v>16</v>
      </c>
      <c r="C24" s="3">
        <f>2*B24 + 1*4</f>
        <v/>
      </c>
      <c r="D24" s="3">
        <f>8*1</f>
        <v/>
      </c>
      <c r="E24" s="9" t="n">
        <v>0</v>
      </c>
      <c r="F24" s="3">
        <f>SUM(C24:E24)</f>
        <v/>
      </c>
      <c r="G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Clarifications-8/7(0.5d);Aug: 16 ord (incl.5ord fd exp)</t>
        </is>
      </c>
      <c r="H24" s="62" t="n"/>
      <c r="I24" s="62" t="n"/>
      <c r="J24" s="110" t="inlineStr">
        <is>
          <t>Himangshu Pal/Sanjeev Kumar/Ayush Mathur/Shivaji/VVR Murthy</t>
        </is>
      </c>
      <c r="K24" s="111" t="n"/>
      <c r="L24" s="111" t="n"/>
      <c r="M24" s="112" t="n"/>
      <c r="N24" s="3" t="n"/>
      <c r="O24" s="3" t="n"/>
      <c r="P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5" ht="83.5" customHeight="1" s="125">
      <c r="A25" s="10" t="inlineStr">
        <is>
          <t>B448</t>
        </is>
      </c>
      <c r="B25" s="3" t="n">
        <v>1</v>
      </c>
      <c r="C25" s="3" t="n">
        <v>0</v>
      </c>
      <c r="D25" s="3">
        <f>8*0</f>
        <v/>
      </c>
      <c r="E25" s="9">
        <f>8*2.5</f>
        <v/>
      </c>
      <c r="F25" s="3">
        <f>SUM(C25:E25)</f>
        <v/>
      </c>
      <c r="G25" s="62" t="inlineStr">
        <is>
          <t xml:space="preserve"> Insp. &amp; exp. Of Direct ordered items; For LSTK, insp@ payment on manday item rate;resolution of queries on insp from bid till compln. Of pjt;expediting, if reqd. by Owner - ABB-Plant Automation-  Consoles QAP rev-6/8(0.5d);Metering Skid QAP-16/8(0.5d); Visit with CLient for expediting - 19/8(1d); Control valves-29/8(0.5d); 28h for Jun&amp;Jul rel on 2/9[280]</t>
        </is>
      </c>
      <c r="H25" s="62" t="n"/>
      <c r="I25" s="62" t="n"/>
      <c r="J25" s="110" t="inlineStr">
        <is>
          <t>Himangshu Pal/Sanjeev Kumar/UK Mishra/NS Vasudev</t>
        </is>
      </c>
      <c r="K25" s="111" t="n"/>
      <c r="L25" s="111" t="n"/>
      <c r="M25" s="112" t="n"/>
      <c r="N25" s="3" t="n"/>
      <c r="O25" s="3" t="n"/>
      <c r="Q25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6" ht="83.5" customHeight="1" s="125">
      <c r="A26" s="3" t="inlineStr">
        <is>
          <t>B519</t>
        </is>
      </c>
      <c r="B26" s="3" t="n">
        <v>4</v>
      </c>
      <c r="C26" s="3">
        <f>2*B26+1*4</f>
        <v/>
      </c>
      <c r="D26" s="3">
        <f>8*0</f>
        <v/>
      </c>
      <c r="E26" s="9" t="n">
        <v>0</v>
      </c>
      <c r="F26" s="3">
        <f>SUM(C26:E26)</f>
        <v/>
      </c>
      <c r="G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insp-25/7(1d);</t>
        </is>
      </c>
      <c r="H26" s="62" t="n"/>
      <c r="I26" s="62" t="n"/>
      <c r="J26" s="110" t="inlineStr">
        <is>
          <t>Chandrashekhar/HarshVardan/Prakash Jagarwal/DSNMurty</t>
        </is>
      </c>
      <c r="K26" s="111" t="n"/>
      <c r="L26" s="111" t="n"/>
      <c r="M26" s="112" t="n"/>
      <c r="N26" s="3" t="n"/>
      <c r="O26" s="3" t="n"/>
    </row>
    <row r="27" ht="83.5" customHeight="1" s="125">
      <c r="A27" s="10" t="inlineStr">
        <is>
          <t>B548</t>
        </is>
      </c>
      <c r="B27" s="3" t="n">
        <v>1</v>
      </c>
      <c r="C27" s="3" t="n">
        <v>0</v>
      </c>
      <c r="D27" s="3" t="n">
        <v>8</v>
      </c>
      <c r="E27" s="9" t="n">
        <v>0</v>
      </c>
      <c r="F27" s="3">
        <f>SUM(C27:E27)</f>
        <v/>
      </c>
      <c r="G27" s="62" t="inlineStr">
        <is>
          <t>Resolution of post inspection issues w.r.t Busduct s/o on Stardrive; IRN endorsed on 14/8/25</t>
        </is>
      </c>
      <c r="H27" s="62" t="n"/>
      <c r="I27" s="62" t="n"/>
      <c r="J27" s="110" t="inlineStr">
        <is>
          <t>HP/Sanjeev Kr/T Ravi/NS Vasudev/Sanjeev Kr Gupta</t>
        </is>
      </c>
      <c r="K27" s="111" t="n"/>
      <c r="L27" s="111" t="n"/>
      <c r="M27" s="112" t="n"/>
      <c r="N27" s="3" t="n"/>
      <c r="O27" s="3" t="n"/>
      <c r="P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10" t="inlineStr">
        <is>
          <t>B559</t>
        </is>
      </c>
      <c r="B28" s="3" t="n">
        <v>3</v>
      </c>
      <c r="C28" s="3">
        <f>2*B28</f>
        <v/>
      </c>
      <c r="D28" s="3" t="n">
        <v>0</v>
      </c>
      <c r="E28" s="9" t="n">
        <v>0</v>
      </c>
      <c r="F28" s="3">
        <f>SUM(C28:E28)</f>
        <v/>
      </c>
      <c r="G28" s="62" t="inlineStr">
        <is>
          <t xml:space="preserve">IOCL Biturox,Vad-Proj. Prof. uploaded on 20/3- Desk Expediting - NO OCS; 3 orders expediting </t>
        </is>
      </c>
      <c r="H28" s="62" t="n"/>
      <c r="I28" s="62" t="n"/>
      <c r="J28" s="110" t="inlineStr">
        <is>
          <t xml:space="preserve">Sanjay Choudhary/SK Gayen/RK Gupta </t>
        </is>
      </c>
      <c r="K28" s="111" t="n"/>
      <c r="L28" s="111" t="n"/>
      <c r="M28" s="112" t="n"/>
      <c r="N28" s="3" t="n"/>
      <c r="O28" s="3" t="n"/>
      <c r="P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29" ht="83.5" customHeight="1" s="125">
      <c r="A29" s="3" t="inlineStr">
        <is>
          <t>B560</t>
        </is>
      </c>
      <c r="B29" s="3" t="n">
        <v>12</v>
      </c>
      <c r="C29" s="3">
        <f>2*B29</f>
        <v/>
      </c>
      <c r="D29" s="3" t="n"/>
      <c r="E29" s="9" t="n">
        <v>0</v>
      </c>
      <c r="F29" s="3">
        <f>SUM(C29:E29)</f>
        <v/>
      </c>
      <c r="G29" s="62" t="inlineStr">
        <is>
          <t xml:space="preserve">Req.from ED(I) for expediting on 15/6/24 - 12 orders (incl.5 Running orders) &amp; OCS also to be made as per latest reqt.; </t>
        </is>
      </c>
      <c r="H29" s="62" t="n"/>
      <c r="I29" s="62" t="n"/>
      <c r="J29" s="110" t="inlineStr">
        <is>
          <t>Chandrashekhar/Vinod Kumar/RK Medhavi</t>
        </is>
      </c>
      <c r="K29" s="111" t="n"/>
      <c r="L29" s="111" t="n"/>
      <c r="M29" s="112" t="n"/>
      <c r="N29" s="3" t="n"/>
      <c r="O29" s="3" t="n"/>
      <c r="P29" t="inlineStr">
        <is>
          <t>100h rel on 23/4</t>
        </is>
      </c>
    </row>
    <row r="30" ht="44" customHeight="1" s="125">
      <c r="A30" s="10" t="inlineStr">
        <is>
          <t>B589</t>
        </is>
      </c>
      <c r="B30" s="3" t="n">
        <v>0</v>
      </c>
      <c r="C30" s="3" t="n">
        <v>0</v>
      </c>
      <c r="D30" s="3" t="n">
        <v>0</v>
      </c>
      <c r="E30" s="9" t="n">
        <v>0</v>
      </c>
      <c r="F30" s="3" t="n">
        <v>0</v>
      </c>
      <c r="G30" s="62" t="n"/>
      <c r="H30" s="62" t="n"/>
      <c r="I30" s="62" t="n"/>
      <c r="J30" s="110" t="inlineStr">
        <is>
          <t>Himangshu Pal/Sanjeev Kr/T Ravi/NS Vasudev/Sanjeev Kr Gupta</t>
        </is>
      </c>
      <c r="K30" s="111" t="n"/>
      <c r="L30" s="111" t="n"/>
      <c r="M30" s="112" t="n"/>
      <c r="N30" s="3" t="n"/>
      <c r="O30" s="3" t="n"/>
      <c r="P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10" t="inlineStr">
        <is>
          <t>B650</t>
        </is>
      </c>
      <c r="B31" s="3" t="n">
        <v>2</v>
      </c>
      <c r="C31" s="3">
        <f>B31*2</f>
        <v/>
      </c>
      <c r="D31" s="3" t="n"/>
      <c r="E31" s="9" t="n"/>
      <c r="F31" s="3">
        <f>SUM(C31:E31)</f>
        <v/>
      </c>
      <c r="G31" s="62" t="inlineStr">
        <is>
          <t>No scope for RPO - however, OCS to be done</t>
        </is>
      </c>
      <c r="H31" s="62" t="n"/>
      <c r="I31" s="62" t="n"/>
      <c r="J31" s="110" t="inlineStr">
        <is>
          <t>Sanjay Choudhary/Siddant Kumar</t>
        </is>
      </c>
      <c r="K31" s="111" t="n"/>
      <c r="L31" s="111" t="n"/>
      <c r="M31" s="112" t="n"/>
      <c r="N31" s="3" t="n"/>
      <c r="O31" s="3" t="n"/>
    </row>
    <row r="32" ht="83.5" customHeight="1" s="125">
      <c r="A32" s="10" t="inlineStr">
        <is>
          <t>B653</t>
        </is>
      </c>
      <c r="B32" s="3" t="n">
        <v>13</v>
      </c>
      <c r="C32" s="3">
        <f>2*B32+1*4</f>
        <v/>
      </c>
      <c r="D32" s="3" t="n"/>
      <c r="E32" s="9" t="n">
        <v>8</v>
      </c>
      <c r="F32" s="3">
        <f>SUM(C32:E32)</f>
        <v/>
      </c>
      <c r="G32" s="62" t="inlineStr">
        <is>
          <t>Expediting by RPOs as per email dtd 22/10/24, OCS by RPO as per CS mail dt 17/1; (13 running incl 3FD exp);Univ Insts -Visit-21/8 -8h</t>
        </is>
      </c>
      <c r="H32" s="62" t="n"/>
      <c r="I32" s="62" t="n"/>
      <c r="J32" s="110" t="inlineStr">
        <is>
          <t>Sanjeev Kumar/Aasheesh Handa/Amandeep Kaur</t>
        </is>
      </c>
      <c r="K32" s="111" t="n"/>
      <c r="L32" s="111" t="n"/>
      <c r="M32" s="112" t="n"/>
      <c r="N32" s="3" t="n"/>
      <c r="O32" s="3" t="n"/>
      <c r="P32" t="inlineStr">
        <is>
          <t>40h rel on 9/4/24 [40]</t>
        </is>
      </c>
    </row>
    <row r="33" ht="83.5" customHeight="1" s="125">
      <c r="A33" s="3" t="inlineStr">
        <is>
          <t>B725</t>
        </is>
      </c>
      <c r="B33" s="3" t="n">
        <v>3</v>
      </c>
      <c r="C33" s="3" t="n"/>
      <c r="D33" s="3" t="n">
        <v>0</v>
      </c>
      <c r="E33" s="9" t="n">
        <v>0</v>
      </c>
      <c r="F33" s="3">
        <f>SUM(C33:E33)</f>
        <v/>
      </c>
      <c r="G33" s="62" t="inlineStr">
        <is>
          <t xml:space="preserve">No expediting; </t>
        </is>
      </c>
      <c r="H33" s="62" t="n"/>
      <c r="I33" s="62" t="n"/>
      <c r="J33" s="110" t="inlineStr">
        <is>
          <t>Himangshu/Sanjeev Kumar- Scope: Rev. of ITP,Insp Docs &amp; FD</t>
        </is>
      </c>
      <c r="K33" s="111" t="n"/>
      <c r="L33" s="111" t="n"/>
      <c r="M33" s="112" t="n"/>
      <c r="N33" s="3" t="n"/>
      <c r="O33" s="3" t="n"/>
      <c r="P33" t="inlineStr">
        <is>
          <t>4h sought by BT on 27/5 to Sanjeev Kr</t>
        </is>
      </c>
    </row>
    <row r="34" ht="83.5" customHeight="1" s="125">
      <c r="A34" s="3" t="inlineStr">
        <is>
          <t>B767</t>
        </is>
      </c>
      <c r="B34" s="3" t="n"/>
      <c r="C34" s="3" t="n"/>
      <c r="D34" s="3" t="n">
        <v>0</v>
      </c>
      <c r="E34" s="9" t="n">
        <v>0</v>
      </c>
      <c r="F34" s="3">
        <f>SUM(C34:E34)</f>
        <v/>
      </c>
      <c r="G34" s="62" t="inlineStr">
        <is>
          <t xml:space="preserve"> </t>
        </is>
      </c>
      <c r="H34" s="62" t="n"/>
      <c r="I34" s="62" t="n"/>
      <c r="J34" s="110" t="inlineStr">
        <is>
          <t>Himangshu Pal/Vikalp Paliwal/Balakumar</t>
        </is>
      </c>
      <c r="K34" s="111" t="n"/>
      <c r="L34" s="111" t="n"/>
      <c r="M34" s="112" t="n"/>
      <c r="N34" s="3" t="n"/>
      <c r="O34" s="3" t="n"/>
      <c r="P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3" t="inlineStr">
        <is>
          <t>B795</t>
        </is>
      </c>
      <c r="B35" s="3" t="n">
        <v>2</v>
      </c>
      <c r="C35" s="3" t="n"/>
      <c r="D35" s="3" t="n">
        <v>0</v>
      </c>
      <c r="E35" s="9" t="n"/>
      <c r="F35" s="3">
        <f>SUM(C35:E35)</f>
        <v/>
      </c>
      <c r="G35" s="62" t="inlineStr">
        <is>
          <t xml:space="preserve">QAP appl. &amp; Insp. in EIL scope </t>
        </is>
      </c>
      <c r="H35" s="62" t="n"/>
      <c r="I35" s="62" t="n"/>
      <c r="J35" s="110" t="inlineStr">
        <is>
          <t>G Suresh/Hemant Gadasia/Tarun Bansal/Dipak Panchal</t>
        </is>
      </c>
      <c r="K35" s="111" t="n"/>
      <c r="L35" s="111" t="n"/>
      <c r="M35" s="112" t="n"/>
      <c r="N35" s="3" t="n"/>
      <c r="O35" s="3" t="n"/>
      <c r="P35" t="inlineStr">
        <is>
          <t>32h rels. On 12/9;64h on 16/1; addl 100h rel on 20/1 [276]</t>
        </is>
      </c>
    </row>
    <row r="36" ht="83.5" customHeight="1" s="125">
      <c r="A36" s="3" t="inlineStr">
        <is>
          <t>B813</t>
        </is>
      </c>
      <c r="B36" s="3" t="n">
        <v>1</v>
      </c>
      <c r="C36" s="3">
        <f>2*B36</f>
        <v/>
      </c>
      <c r="D36" s="3" t="n"/>
      <c r="E36" s="9" t="n"/>
      <c r="F36" s="3">
        <f>SUM(C36:E36)</f>
        <v/>
      </c>
      <c r="G36" s="62" t="inlineStr">
        <is>
          <t>Expedite &amp; Inspect critical items (list provided in mail dt.29/5/25) EIL on man-day reimbursable basis - 1 order on KSBMIL</t>
        </is>
      </c>
      <c r="H36" s="62" t="n"/>
      <c r="I36" s="62" t="n"/>
      <c r="J36" s="110" t="inlineStr">
        <is>
          <t>Sanjeev Kumar/Raviraj/Shivaji</t>
        </is>
      </c>
      <c r="K36" s="111" t="n"/>
      <c r="L36" s="111" t="n"/>
      <c r="M36" s="112" t="inlineStr">
        <is>
          <t>NRL-Aqueous Ammonia Unit</t>
        </is>
      </c>
      <c r="N36" s="3" t="n"/>
      <c r="O36" s="3" t="n"/>
    </row>
    <row r="37" ht="83.5" customHeight="1" s="125">
      <c r="A37" s="3" t="inlineStr">
        <is>
          <t>B861</t>
        </is>
      </c>
      <c r="B37" s="3" t="n">
        <v>1</v>
      </c>
      <c r="C37" s="3">
        <f>2*B37</f>
        <v/>
      </c>
      <c r="D37" s="3" t="n">
        <v>0</v>
      </c>
      <c r="E37" s="9" t="n">
        <v>8</v>
      </c>
      <c r="F37" s="3">
        <f>SUM(C37:E37)</f>
        <v/>
      </c>
      <c r="G37" s="62" t="inlineStr">
        <is>
          <t>Enginemtes order -Expediting/ rev. of Quality reqts</t>
        </is>
      </c>
      <c r="H37" s="62" t="n"/>
      <c r="I37" s="62" t="n"/>
      <c r="J37" s="110" t="inlineStr">
        <is>
          <t>G Suresh/Hemant Gadasia/</t>
        </is>
      </c>
      <c r="K37" s="111" t="n"/>
      <c r="L37" s="111" t="n"/>
      <c r="M37" s="112" t="n"/>
      <c r="N37" s="3" t="n"/>
      <c r="O37" s="3" t="n"/>
    </row>
    <row r="38" ht="83.5" customHeight="1" s="125">
      <c r="A38" s="3" t="inlineStr">
        <is>
          <t>B862</t>
        </is>
      </c>
      <c r="B38" s="3">
        <f>2+1</f>
        <v/>
      </c>
      <c r="C38" s="3">
        <f>B38*2</f>
        <v/>
      </c>
      <c r="D38" s="3" t="n"/>
      <c r="E38" s="9" t="n"/>
      <c r="F38" s="3">
        <f>SUM(C38:E38)</f>
        <v/>
      </c>
      <c r="G38" s="62" t="inlineStr">
        <is>
          <t>manhour for Level- 13 (Group-2), Level -15 &amp; 16 (Group-4) and Level-18 (Group-5) have far exceeded ceiling prescribed in the contract - &gt;Lvl 17-mh limited to 16%</t>
        </is>
      </c>
      <c r="H38" s="62" t="n"/>
      <c r="I38" s="62" t="n"/>
      <c r="J38" s="110" t="inlineStr">
        <is>
          <t>Himangshu Pal/Sanjeev Kumar/Rajeev Khandelwal IOM 10/7/24 from Mr Rajeev Khandelwal on level wise breakup of MH to be booked - to be followed while seeking MH.</t>
        </is>
      </c>
      <c r="K38" s="111" t="n"/>
      <c r="L38" s="111" t="n"/>
      <c r="M38" s="112" t="inlineStr">
        <is>
          <t>PLL</t>
        </is>
      </c>
      <c r="N38" s="3" t="n"/>
      <c r="O38" s="3" t="n"/>
      <c r="P38" t="inlineStr">
        <is>
          <t>200h rel in May'25</t>
        </is>
      </c>
    </row>
    <row r="39" ht="83.5" customHeight="1" s="125">
      <c r="A39" s="3" t="inlineStr">
        <is>
          <t>B865</t>
        </is>
      </c>
      <c r="B39" s="3" t="n">
        <v>1</v>
      </c>
      <c r="C39" s="3" t="n"/>
      <c r="D39" s="3" t="n"/>
      <c r="E39" s="9" t="n"/>
      <c r="F39" s="3" t="n"/>
      <c r="G39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H39" s="62" t="n"/>
      <c r="I39" s="62" t="n"/>
      <c r="J39" s="110" t="inlineStr">
        <is>
          <t>Avdesh Agrawal</t>
        </is>
      </c>
      <c r="K39" s="111" t="n"/>
      <c r="L39" s="111" t="n"/>
      <c r="M39" s="112" t="inlineStr">
        <is>
          <t>HPCL Petchem Mktg Terminal</t>
        </is>
      </c>
      <c r="N39" s="3" t="n"/>
      <c r="O39" s="3" t="n"/>
    </row>
    <row r="40" ht="83.5" customHeight="1" s="125">
      <c r="A40" s="3" t="inlineStr">
        <is>
          <t>B903</t>
        </is>
      </c>
      <c r="B40" s="3" t="n">
        <v>3</v>
      </c>
      <c r="C40" s="3">
        <f>2*B40</f>
        <v/>
      </c>
      <c r="D40" s="3" t="n"/>
      <c r="E40" s="9" t="n"/>
      <c r="F40" s="3">
        <f>SUM(C40:E40)</f>
        <v/>
      </c>
      <c r="G40" s="62" t="n"/>
      <c r="H40" s="62" t="n"/>
      <c r="I40" s="62" t="n"/>
      <c r="J40" s="110" t="inlineStr">
        <is>
          <t>Sanjeev Kumar/Shnaoli</t>
        </is>
      </c>
      <c r="K40" s="111" t="n"/>
      <c r="L40" s="111" t="n"/>
      <c r="M40" s="112" t="n"/>
      <c r="N40" s="3" t="n"/>
      <c r="O40" s="3" t="n"/>
    </row>
    <row r="41" ht="83.5" customHeight="1" s="125">
      <c r="A41" s="3" t="inlineStr">
        <is>
          <t>B904</t>
        </is>
      </c>
      <c r="B41" s="3" t="n">
        <v>1</v>
      </c>
      <c r="C41" s="3">
        <f>2*1</f>
        <v/>
      </c>
      <c r="D41" s="3" t="n"/>
      <c r="E41" s="9" t="n"/>
      <c r="F41" s="3">
        <f>SUM(C41:E41)</f>
        <v/>
      </c>
      <c r="G41" s="62" t="n"/>
      <c r="H41" s="62" t="n"/>
      <c r="I41" s="62" t="n"/>
      <c r="J41" s="110" t="inlineStr">
        <is>
          <t>Sanjeev Kumar/Shnaoli</t>
        </is>
      </c>
      <c r="K41" s="111" t="n"/>
      <c r="L41" s="111" t="n"/>
      <c r="M41" s="112" t="n"/>
      <c r="N41" s="3" t="n"/>
      <c r="O41" s="3" t="inlineStr">
        <is>
          <t>Proj. prof. n.avl.</t>
        </is>
      </c>
    </row>
    <row r="42" ht="83.5" customHeight="1" s="125">
      <c r="A42" s="3" t="inlineStr">
        <is>
          <t>B933</t>
        </is>
      </c>
      <c r="B42" s="3">
        <f>1+1</f>
        <v/>
      </c>
      <c r="C42" s="3">
        <f>2*B42</f>
        <v/>
      </c>
      <c r="D42" s="3" t="n"/>
      <c r="E42" s="9">
        <f>8*0.5</f>
        <v/>
      </c>
      <c r="F42" s="3">
        <f>SUM(C42:E42)</f>
        <v/>
      </c>
      <c r="G42" s="62" t="inlineStr">
        <is>
          <t>Pump ITP rev-19/8(0.5d)</t>
        </is>
      </c>
      <c r="H42" s="62" t="n"/>
      <c r="I42" s="62" t="n"/>
      <c r="J42" s="110" t="inlineStr">
        <is>
          <t>G Suresh/Binoy Debnath</t>
        </is>
      </c>
      <c r="K42" s="111" t="n"/>
      <c r="L42" s="111" t="n"/>
      <c r="M42" s="112" t="n"/>
      <c r="N42" s="3" t="n"/>
      <c r="O42" s="3" t="n"/>
    </row>
    <row r="43" ht="83.5" customHeight="1" s="125">
      <c r="A43" s="3" t="inlineStr">
        <is>
          <t>C007</t>
        </is>
      </c>
      <c r="B43" s="3" t="n">
        <v>10</v>
      </c>
      <c r="C43" s="3" t="n"/>
      <c r="D43" s="3">
        <f>8*B43</f>
        <v/>
      </c>
      <c r="E43" s="9" t="n"/>
      <c r="F43" s="3">
        <f>SUM(C43:E43)</f>
        <v/>
      </c>
      <c r="G43" s="62" t="inlineStr">
        <is>
          <t>Welspun deputation from 29/7 to 13/8;88h rel on 7/9[192]</t>
        </is>
      </c>
      <c r="H43" s="62" t="n"/>
      <c r="I43" s="62" t="n"/>
      <c r="J43" s="110" t="inlineStr">
        <is>
          <t>Himangshu Pal/Hemant Gadasia</t>
        </is>
      </c>
      <c r="K43" s="111" t="n"/>
      <c r="L43" s="111" t="n"/>
      <c r="M43" s="112" t="n"/>
      <c r="N43" s="3" t="n"/>
      <c r="O43" s="3" t="n"/>
    </row>
    <row r="44" ht="46" customHeight="1" s="125">
      <c r="A44" s="3" t="inlineStr">
        <is>
          <t>Leave</t>
        </is>
      </c>
      <c r="B44" s="3" t="n">
        <v>15</v>
      </c>
      <c r="C44" s="3" t="n"/>
      <c r="D44" s="3" t="n"/>
      <c r="E44" s="9" t="inlineStr">
        <is>
          <t xml:space="preserve"> </t>
        </is>
      </c>
      <c r="F44" s="3">
        <f>8*B44</f>
        <v/>
      </c>
      <c r="G44" s="62" t="inlineStr">
        <is>
          <t>VR:5d; AG:8;SV-1d-13;US:21 ;BT:18,19,20;NV-4d-25,26,28,29</t>
        </is>
      </c>
      <c r="H44" s="62" t="n"/>
      <c r="I44" s="62" t="n"/>
      <c r="J44" s="110" t="inlineStr">
        <is>
          <t xml:space="preserve"> </t>
        </is>
      </c>
      <c r="K44" s="111" t="n"/>
      <c r="L44" s="111" t="n"/>
      <c r="M44" s="112" t="n"/>
      <c r="N44" s="3" t="n"/>
      <c r="O44" s="3">
        <f>F44-N44</f>
        <v/>
      </c>
      <c r="P44" t="n">
        <v>68</v>
      </c>
    </row>
    <row r="45" ht="45.5" customHeight="1" s="125">
      <c r="A45" s="3" t="inlineStr">
        <is>
          <t>Total</t>
        </is>
      </c>
      <c r="B45" s="3">
        <f>SUM(B10:B44)</f>
        <v/>
      </c>
      <c r="C45" s="3" t="n"/>
      <c r="D45" s="3" t="n"/>
      <c r="E45" s="9" t="n"/>
      <c r="F45" s="3">
        <f>SUM(F4:F44)</f>
        <v/>
      </c>
      <c r="G45" s="56" t="n"/>
      <c r="H45" s="56" t="n"/>
      <c r="I45" s="56" t="n"/>
      <c r="J45" s="110" t="n"/>
      <c r="K45" s="111" t="n"/>
      <c r="L45" s="111" t="n"/>
      <c r="M45" s="112" t="n"/>
      <c r="N45" s="3" t="n"/>
      <c r="O45" s="3">
        <f>F45-N45</f>
        <v/>
      </c>
      <c r="P45">
        <f>SUM(P10:P44)</f>
        <v/>
      </c>
      <c r="Q45">
        <f>672-P45</f>
        <v/>
      </c>
    </row>
    <row r="46" ht="83.5" customHeight="1" s="125">
      <c r="A46" s="3" t="n"/>
      <c r="B46" s="3" t="n"/>
      <c r="C46" s="3" t="n"/>
      <c r="D46" s="3" t="n"/>
      <c r="E46" s="9" t="n"/>
      <c r="F46" s="3" t="inlineStr">
        <is>
          <t xml:space="preserve"> </t>
        </is>
      </c>
      <c r="G46" s="56" t="n"/>
      <c r="H46" s="56" t="n"/>
      <c r="I46" s="56">
        <f>52*5*3- 36</f>
        <v/>
      </c>
      <c r="J46" s="110" t="n"/>
      <c r="K46" s="111" t="n"/>
      <c r="L46" s="111" t="n"/>
      <c r="M46" s="112" t="n"/>
      <c r="N46" s="3" t="n"/>
      <c r="O46" s="3" t="n"/>
    </row>
    <row r="47" ht="83.5" customHeight="1" s="125">
      <c r="A47" s="3" t="inlineStr">
        <is>
          <t>Notes:</t>
        </is>
      </c>
      <c r="B47" s="3" t="n"/>
      <c r="C47" s="3" t="n"/>
      <c r="D47" s="3" t="n"/>
      <c r="E47" s="9" t="n"/>
      <c r="F47" s="3" t="n"/>
      <c r="G47" s="56" t="n"/>
      <c r="H47" s="56" t="n"/>
      <c r="I47" s="56" t="n"/>
      <c r="J47" s="110" t="n"/>
      <c r="K47" s="111" t="inlineStr">
        <is>
          <t xml:space="preserve"> </t>
        </is>
      </c>
      <c r="L47" s="111" t="n"/>
      <c r="M47" s="112" t="n"/>
      <c r="N47" s="3" t="n"/>
      <c r="O47" s="3" t="n"/>
    </row>
    <row r="48" ht="83.5" customHeight="1" s="125">
      <c r="A48" s="3" t="inlineStr">
        <is>
          <t>1. If there are any other job nos., pl. include the same.</t>
        </is>
      </c>
      <c r="B48" s="3" t="n"/>
      <c r="C48" s="3" t="n"/>
      <c r="D48" s="3" t="n"/>
      <c r="E48" s="9" t="n"/>
      <c r="F48" s="3" t="n"/>
      <c r="G48" s="9" t="inlineStr">
        <is>
          <t xml:space="preserve"> </t>
        </is>
      </c>
      <c r="H48" s="111" t="n"/>
      <c r="I48" s="112" t="n"/>
      <c r="J48" s="6" t="inlineStr">
        <is>
          <t xml:space="preserve"> </t>
        </is>
      </c>
      <c r="K48" s="7" t="inlineStr">
        <is>
          <t xml:space="preserve"> </t>
        </is>
      </c>
      <c r="L48" s="7" t="n"/>
      <c r="M48" s="8" t="n"/>
      <c r="N48" s="3" t="n"/>
      <c r="O48" s="3" t="n"/>
    </row>
    <row r="49">
      <c r="A49" s="24" t="inlineStr">
        <is>
          <t xml:space="preserve">Guidelines : </t>
        </is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6" t="inlineStr">
        <is>
          <t>1. Inspection Visit including review and endorsement of final documents: At  actual</t>
        </is>
      </c>
      <c r="B50" s="26" t="n"/>
    </row>
    <row r="51">
      <c r="A51" s="26" t="inlineStr">
        <is>
          <t xml:space="preserve">2. Expediting and preparation of expediting report: Average 2 hours /month /order ( No separate man hours for coordination ) </t>
        </is>
      </c>
      <c r="Q51" t="inlineStr">
        <is>
          <t xml:space="preserve"> </t>
        </is>
      </c>
    </row>
    <row r="52">
      <c r="A52" s="26" t="inlineStr">
        <is>
          <t xml:space="preserve">3. Expediting visit/ Attending meeting with project/.Client: At  actual </t>
        </is>
      </c>
    </row>
    <row r="53">
      <c r="A53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4">
      <c r="A54" s="26" t="inlineStr">
        <is>
          <t xml:space="preserve">5. Review of ITP for Equipment (Mechanical and Electrical/DCS etc): Average 2 hours/order </t>
        </is>
      </c>
      <c r="M54" t="inlineStr">
        <is>
          <t xml:space="preserve"> </t>
        </is>
      </c>
    </row>
    <row r="55">
      <c r="A55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6">
      <c r="A56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7">
      <c r="A57" s="26" t="inlineStr">
        <is>
          <t xml:space="preserve">8. Order Closing report: Average 2 hours/Order  </t>
        </is>
      </c>
    </row>
    <row r="58">
      <c r="A58" s="27" t="n"/>
    </row>
    <row r="59">
      <c r="J59" t="inlineStr">
        <is>
          <t xml:space="preserve"> </t>
        </is>
      </c>
    </row>
  </sheetData>
  <mergeCells count="8">
    <mergeCell ref="G10:I10"/>
    <mergeCell ref="A2:I2"/>
    <mergeCell ref="A1:I1"/>
    <mergeCell ref="G8:I8"/>
    <mergeCell ref="G48:I48"/>
    <mergeCell ref="G3:I3"/>
    <mergeCell ref="J2:M2"/>
    <mergeCell ref="G11:I11"/>
  </mergeCells>
  <pageMargins left="0.7" right="0.7" top="0.75" bottom="0.75" header="0.3" footer="0.3"/>
  <pageSetup orientation="landscape" paperSize="9"/>
</worksheet>
</file>

<file path=xl/worksheets/sheet11.xml><?xml version="1.0" encoding="utf-8"?>
<worksheet xmlns="http://schemas.openxmlformats.org/spreadsheetml/2006/main">
  <sheetPr filterMode="1">
    <outlinePr summaryBelow="1" summaryRight="1"/>
    <pageSetUpPr fitToPage="1"/>
  </sheetPr>
  <dimension ref="A1:Y56"/>
  <sheetViews>
    <sheetView workbookViewId="0">
      <selection activeCell="A3" sqref="A3:L3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45870</v>
      </c>
      <c r="M1" s="122" t="inlineStr">
        <is>
          <t xml:space="preserve">Total MH reqd: </t>
        </is>
      </c>
      <c r="O1" s="122">
        <f>ConsolidatedMHrequirementAug25!A2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2/09/25</t>
        </is>
      </c>
      <c r="L3" s="33" t="inlineStr">
        <is>
          <t>Shortfall</t>
        </is>
      </c>
    </row>
    <row r="4" hidden="1" ht="15" customHeight="1" s="125">
      <c r="A4" s="71" t="n">
        <v>4994</v>
      </c>
      <c r="B4" s="3">
        <f>ConsolidatedMHrequirementAug25!B4</f>
        <v/>
      </c>
      <c r="C4" s="3" t="n"/>
      <c r="D4" s="3" t="n"/>
      <c r="E4" s="3" t="n"/>
      <c r="F4" s="66" t="n"/>
      <c r="G4" s="3">
        <f>ConsolidatedMHrequirementAug25!D4</f>
        <v/>
      </c>
      <c r="H4" s="3">
        <f>ConsolidatedMHrequirementAug25!C4</f>
        <v/>
      </c>
      <c r="I4" s="3">
        <f>ConsolidatedMHrequirementAug25!E4</f>
        <v/>
      </c>
      <c r="J4" s="41">
        <f>VLOOKUP(A4,ConsolidatedMHrequirementAug25!$A$4:$I$44,6,FALSE)</f>
        <v/>
      </c>
      <c r="K4" s="3" t="n">
        <v>24</v>
      </c>
      <c r="L4" s="3">
        <f>J4-K4</f>
        <v/>
      </c>
      <c r="M4" s="69">
        <f>ConsolidatedMHrequirementAug25!G4</f>
        <v/>
      </c>
    </row>
    <row r="5" hidden="1" s="125">
      <c r="A5" s="71" t="n">
        <v>6979</v>
      </c>
      <c r="B5" s="3">
        <f>ConsolidatedMHrequirementAug25!B5</f>
        <v/>
      </c>
      <c r="C5" s="3" t="n"/>
      <c r="D5" s="3" t="n"/>
      <c r="E5" s="3" t="n"/>
      <c r="F5" s="3" t="n"/>
      <c r="G5" s="3">
        <f>ConsolidatedMHrequirementAug25!D5</f>
        <v/>
      </c>
      <c r="H5" s="3">
        <f>ConsolidatedMHrequirementAug25!C5</f>
        <v/>
      </c>
      <c r="I5" s="3">
        <f>ConsolidatedMHrequirementAug25!E5</f>
        <v/>
      </c>
      <c r="J5" s="41">
        <f>VLOOKUP(A5,ConsolidatedMHrequirementAug25!$A$4:$I$44,6,FALSE)</f>
        <v/>
      </c>
      <c r="K5" s="3" t="n"/>
      <c r="L5" s="3">
        <f>J5-K5</f>
        <v/>
      </c>
      <c r="M5" s="69">
        <f>ConsolidatedMHrequirementAug25!G5</f>
        <v/>
      </c>
      <c r="N5" s="69" t="n"/>
      <c r="O5" s="69" t="n"/>
      <c r="P5" s="69" t="n"/>
      <c r="Q5" s="69" t="n"/>
      <c r="R5" s="69" t="n"/>
      <c r="S5" s="69" t="n"/>
      <c r="T5" s="69" t="n"/>
    </row>
    <row r="6" hidden="1" ht="14.5" customFormat="1" customHeight="1" s="34">
      <c r="A6" s="71" t="n">
        <v>7716</v>
      </c>
      <c r="B6" s="3">
        <f>ConsolidatedMHrequirementAug25!B6</f>
        <v/>
      </c>
      <c r="C6" s="3" t="n"/>
      <c r="D6" s="3" t="n"/>
      <c r="E6" s="3" t="n"/>
      <c r="F6" s="66" t="n"/>
      <c r="G6" s="3">
        <f>ConsolidatedMHrequirementAug25!D6</f>
        <v/>
      </c>
      <c r="H6" s="3">
        <f>ConsolidatedMHrequirementAug25!C6</f>
        <v/>
      </c>
      <c r="I6" s="3">
        <f>ConsolidatedMHrequirementAug25!E6</f>
        <v/>
      </c>
      <c r="J6" s="41">
        <f>VLOOKUP(A6,ConsolidatedMHrequirementAug25!$A$4:$I$44,6,FALSE)</f>
        <v/>
      </c>
      <c r="K6" s="44" t="n"/>
      <c r="L6" s="3">
        <f>J6-K6</f>
        <v/>
      </c>
      <c r="M6" s="69">
        <f>ConsolidatedMHrequirementAug25!G6</f>
        <v/>
      </c>
      <c r="N6" s="69" t="n"/>
      <c r="O6" s="69" t="n"/>
      <c r="P6" s="69" t="n"/>
      <c r="Q6" s="69" t="n"/>
      <c r="R6" s="69" t="n"/>
      <c r="S6" s="69" t="n"/>
      <c r="T6" s="69" t="n"/>
    </row>
    <row r="7" hidden="1" ht="14.5" customFormat="1" customHeight="1" s="34">
      <c r="A7" s="71" t="n">
        <v>8518</v>
      </c>
      <c r="B7" s="3">
        <f>ConsolidatedMHrequirementAug25!B7</f>
        <v/>
      </c>
      <c r="C7" s="3" t="n"/>
      <c r="D7" s="3" t="n"/>
      <c r="E7" s="3" t="n"/>
      <c r="F7" s="66" t="n"/>
      <c r="G7" s="3">
        <f>ConsolidatedMHrequirementAug25!D7</f>
        <v/>
      </c>
      <c r="H7" s="3">
        <f>ConsolidatedMHrequirementAug25!C7</f>
        <v/>
      </c>
      <c r="I7" s="3">
        <f>ConsolidatedMHrequirementAug25!E7</f>
        <v/>
      </c>
      <c r="J7" s="41">
        <f>VLOOKUP(A7,ConsolidatedMHrequirementAug25!$A$4:$I$44,6,FALSE)</f>
        <v/>
      </c>
      <c r="K7" s="44" t="n">
        <v>301</v>
      </c>
      <c r="L7" s="3">
        <f>J7-K7</f>
        <v/>
      </c>
      <c r="M7" s="69">
        <f>ConsolidatedMHrequirementAug25!G7</f>
        <v/>
      </c>
      <c r="N7" s="69" t="n"/>
      <c r="O7" s="69" t="n"/>
      <c r="P7" s="69" t="n"/>
      <c r="Q7" s="69" t="n"/>
      <c r="R7" s="69" t="n"/>
      <c r="S7" s="69" t="n"/>
      <c r="T7" s="69" t="n"/>
    </row>
    <row r="8" hidden="1" ht="14.5" customFormat="1" customHeight="1" s="34">
      <c r="A8" s="71" t="n">
        <v>8590</v>
      </c>
      <c r="B8" s="3">
        <f>ConsolidatedMHrequirementAug25!B8</f>
        <v/>
      </c>
      <c r="C8" s="3" t="n"/>
      <c r="D8" s="3" t="n"/>
      <c r="E8" s="3" t="n"/>
      <c r="F8" s="66" t="n"/>
      <c r="G8" s="3">
        <f>ConsolidatedMHrequirementAug25!D8</f>
        <v/>
      </c>
      <c r="H8" s="3">
        <f>ConsolidatedMHrequirementAug25!C8</f>
        <v/>
      </c>
      <c r="I8" s="3">
        <f>ConsolidatedMHrequirementAug25!E8</f>
        <v/>
      </c>
      <c r="J8" s="41">
        <f>VLOOKUP(A8,ConsolidatedMHrequirementAug25!$A$4:$I$44,6,FALSE)</f>
        <v/>
      </c>
      <c r="K8" s="44" t="n">
        <v>16</v>
      </c>
      <c r="L8" s="3">
        <f>J8-K8</f>
        <v/>
      </c>
      <c r="M8" s="69">
        <f>ConsolidatedMHrequirementAug25!G8</f>
        <v/>
      </c>
      <c r="N8" s="69" t="n"/>
      <c r="O8" s="69" t="n"/>
      <c r="P8" s="69" t="n"/>
      <c r="Q8" s="69" t="n"/>
      <c r="R8" s="69" t="n"/>
      <c r="S8" s="69" t="n"/>
      <c r="T8" s="69" t="n"/>
    </row>
    <row r="9" hidden="1" customFormat="1" s="34">
      <c r="A9" s="10" t="inlineStr">
        <is>
          <t>B016</t>
        </is>
      </c>
      <c r="B9" s="3">
        <f>ConsolidatedMHrequirementAug25!B9</f>
        <v/>
      </c>
      <c r="C9" s="41" t="n"/>
      <c r="D9" s="41" t="n"/>
      <c r="E9" s="41" t="n"/>
      <c r="F9" s="54" t="n"/>
      <c r="G9" s="3">
        <f>ConsolidatedMHrequirementAug25!D9</f>
        <v/>
      </c>
      <c r="H9" s="3">
        <f>ConsolidatedMHrequirementAug25!C9</f>
        <v/>
      </c>
      <c r="I9" s="3">
        <f>ConsolidatedMHrequirementAug25!E9</f>
        <v/>
      </c>
      <c r="J9" s="41">
        <f>VLOOKUP(A9,ConsolidatedMHrequirementAug25!$A$4:$I$44,6,FALSE)</f>
        <v/>
      </c>
      <c r="K9" s="44" t="n"/>
      <c r="L9" s="3">
        <f>J9-K9</f>
        <v/>
      </c>
      <c r="M9" s="84">
        <f>ConsolidatedMHrequirementAug25!G9</f>
        <v/>
      </c>
      <c r="N9" s="69" t="n"/>
      <c r="O9" s="69" t="n"/>
      <c r="P9" s="69" t="n"/>
      <c r="Q9" s="69" t="n"/>
      <c r="R9" s="69" t="n"/>
      <c r="S9" s="69" t="n"/>
      <c r="T9" s="69" t="n"/>
    </row>
    <row r="10" hidden="1" ht="15" customFormat="1" customHeight="1" s="34">
      <c r="A10" s="10" t="inlineStr">
        <is>
          <t>B035</t>
        </is>
      </c>
      <c r="B10" s="3">
        <f>ConsolidatedMHrequirementAug25!B10</f>
        <v/>
      </c>
      <c r="C10" s="41" t="n"/>
      <c r="D10" s="41" t="n"/>
      <c r="E10" s="41" t="n"/>
      <c r="F10" s="54" t="n"/>
      <c r="G10" s="3">
        <f>ConsolidatedMHrequirementAug25!D10</f>
        <v/>
      </c>
      <c r="H10" s="3">
        <f>ConsolidatedMHrequirementAug25!C10</f>
        <v/>
      </c>
      <c r="I10" s="3">
        <f>ConsolidatedMHrequirementAug25!E10</f>
        <v/>
      </c>
      <c r="J10" s="41">
        <f>VLOOKUP(A10,ConsolidatedMHrequirementAug25!$A$4:$I$44,6,FALSE)</f>
        <v/>
      </c>
      <c r="K10" s="41" t="n">
        <v>24</v>
      </c>
      <c r="L10" s="3">
        <f>J10-K10</f>
        <v/>
      </c>
      <c r="M10" s="84">
        <f>ConsolidatedMHrequirementAug25!G10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idden="1" ht="16.5" customFormat="1" customHeight="1" s="34">
      <c r="A11" s="10" t="inlineStr">
        <is>
          <t>B038</t>
        </is>
      </c>
      <c r="B11" s="3">
        <f>ConsolidatedMHrequirementAug25!B11</f>
        <v/>
      </c>
      <c r="C11" s="41" t="n"/>
      <c r="D11" s="41" t="n"/>
      <c r="E11" s="41" t="n"/>
      <c r="F11" s="41" t="inlineStr">
        <is>
          <t xml:space="preserve"> </t>
        </is>
      </c>
      <c r="G11" s="3">
        <f>ConsolidatedMHrequirementAug25!D11</f>
        <v/>
      </c>
      <c r="H11" s="3">
        <f>ConsolidatedMHrequirementAug25!C11</f>
        <v/>
      </c>
      <c r="I11" s="3">
        <f>ConsolidatedMHrequirementAug25!E11</f>
        <v/>
      </c>
      <c r="J11" s="41">
        <f>VLOOKUP(A11,ConsolidatedMHrequirementAug25!$A$4:$I$44,6,FALSE)</f>
        <v/>
      </c>
      <c r="K11" s="41" t="n"/>
      <c r="L11" s="3">
        <f>J11-K11</f>
        <v/>
      </c>
      <c r="M11" s="69" t="inlineStr">
        <is>
          <t>1order OCS</t>
        </is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hidden="1" customFormat="1" s="34">
      <c r="A12" s="10" t="inlineStr">
        <is>
          <t>B058</t>
        </is>
      </c>
      <c r="B12" s="3">
        <f>ConsolidatedMHrequirementAug25!B12</f>
        <v/>
      </c>
      <c r="C12" s="41" t="n"/>
      <c r="D12" s="41" t="n"/>
      <c r="E12" s="41" t="n"/>
      <c r="F12" s="54" t="n"/>
      <c r="G12" s="3">
        <f>ConsolidatedMHrequirementAug25!D12</f>
        <v/>
      </c>
      <c r="H12" s="3">
        <f>ConsolidatedMHrequirementAug25!C12</f>
        <v/>
      </c>
      <c r="I12" s="3">
        <f>ConsolidatedMHrequirementAug25!E12</f>
        <v/>
      </c>
      <c r="J12" s="41">
        <f>VLOOKUP(A12,ConsolidatedMHrequirementAug25!$A$4:$I$44,6,FALSE)</f>
        <v/>
      </c>
      <c r="K12" s="41" t="n"/>
      <c r="L12" s="3">
        <f>J12-K12</f>
        <v/>
      </c>
      <c r="M12" s="69">
        <f>ConsolidatedMHrequirementAug25!G12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ConsolidatedMHrequirementAug25!B13</f>
        <v/>
      </c>
      <c r="C13" s="3" t="n"/>
      <c r="D13" s="3" t="n"/>
      <c r="E13" s="3" t="n"/>
      <c r="F13" s="66" t="n"/>
      <c r="G13" s="3">
        <f>ConsolidatedMHrequirementAug25!D13</f>
        <v/>
      </c>
      <c r="H13" s="3">
        <f>ConsolidatedMHrequirementAug25!C13</f>
        <v/>
      </c>
      <c r="I13" s="3">
        <f>ConsolidatedMHrequirementAug25!E13</f>
        <v/>
      </c>
      <c r="J13" s="41">
        <f>VLOOKUP(A13,ConsolidatedMHrequirementAug25!$A$4:$I$44,6,FALSE)</f>
        <v/>
      </c>
      <c r="K13" s="44" t="n"/>
      <c r="L13" s="3">
        <f>J13-K13</f>
        <v/>
      </c>
      <c r="M13" s="69">
        <f>ConsolidatedMHrequirementAug25!G13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hidden="1" customFormat="1" s="34">
      <c r="A14" s="10" t="inlineStr">
        <is>
          <t>B229</t>
        </is>
      </c>
      <c r="B14" s="3">
        <f>ConsolidatedMHrequirementAug25!B14</f>
        <v/>
      </c>
      <c r="C14" s="41" t="n"/>
      <c r="D14" s="41" t="n"/>
      <c r="E14" s="41" t="n"/>
      <c r="F14" s="54" t="n"/>
      <c r="G14" s="3">
        <f>ConsolidatedMHrequirementAug25!D14</f>
        <v/>
      </c>
      <c r="H14" s="3">
        <f>ConsolidatedMHrequirementAug25!C14</f>
        <v/>
      </c>
      <c r="I14" s="3">
        <f>ConsolidatedMHrequirementAug25!E14</f>
        <v/>
      </c>
      <c r="J14" s="41">
        <f>VLOOKUP(A14,ConsolidatedMHrequirementAug25!$A$4:$I$44,6,FALSE)</f>
        <v/>
      </c>
      <c r="K14" s="41" t="n"/>
      <c r="L14" s="3">
        <f>J14-K14</f>
        <v/>
      </c>
      <c r="M14" s="69">
        <f>ConsolidatedMHrequirementAug25!G14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ConsolidatedMHrequirementAug25!B15</f>
        <v/>
      </c>
      <c r="C15" s="3" t="n"/>
      <c r="D15" s="3" t="n"/>
      <c r="E15" s="3" t="n"/>
      <c r="F15" s="44" t="n">
        <v>1</v>
      </c>
      <c r="G15" s="3">
        <f>ConsolidatedMHrequirementAug25!D15</f>
        <v/>
      </c>
      <c r="H15" s="3">
        <f>ConsolidatedMHrequirementAug25!C15</f>
        <v/>
      </c>
      <c r="I15" s="3">
        <f>ConsolidatedMHrequirementAug25!E15</f>
        <v/>
      </c>
      <c r="J15" s="41">
        <f>VLOOKUP(A15,ConsolidatedMHrequirementAug25!$A$4:$I$44,6,FALSE)</f>
        <v/>
      </c>
      <c r="K15" s="41" t="n">
        <v>30</v>
      </c>
      <c r="L15" s="3">
        <f>J15-K15</f>
        <v/>
      </c>
      <c r="M15" s="69">
        <f>ConsolidatedMHrequirementAug25!G15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hidden="1" customFormat="1" s="34">
      <c r="A16" s="10" t="inlineStr">
        <is>
          <t>B285</t>
        </is>
      </c>
      <c r="B16" s="3">
        <f>ConsolidatedMHrequirementAug25!B16</f>
        <v/>
      </c>
      <c r="C16" s="41" t="n"/>
      <c r="D16" s="41" t="n"/>
      <c r="E16" s="41" t="n"/>
      <c r="F16" s="44" t="n"/>
      <c r="G16" s="3">
        <f>ConsolidatedMHrequirementAug25!D16</f>
        <v/>
      </c>
      <c r="H16" s="3">
        <f>ConsolidatedMHrequirementAug25!C16</f>
        <v/>
      </c>
      <c r="I16" s="3">
        <f>ConsolidatedMHrequirementAug25!E16</f>
        <v/>
      </c>
      <c r="J16" s="41">
        <f>VLOOKUP(A16,ConsolidatedMHrequirementAug25!$A$4:$I$44,6,FALSE)</f>
        <v/>
      </c>
      <c r="K16" s="41" t="n"/>
      <c r="L16" s="3">
        <f>J16-K16</f>
        <v/>
      </c>
      <c r="M16" s="69">
        <f>ConsolidatedMHrequirementAug25!G16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ConsolidatedMHrequirementAug25!B17</f>
        <v/>
      </c>
      <c r="C17" s="41" t="n"/>
      <c r="D17" s="41" t="n"/>
      <c r="E17" s="41" t="n"/>
      <c r="F17" s="44" t="n"/>
      <c r="G17" s="3">
        <f>ConsolidatedMHrequirementAug25!D17</f>
        <v/>
      </c>
      <c r="H17" s="3">
        <f>ConsolidatedMHrequirementAug25!C17</f>
        <v/>
      </c>
      <c r="I17" s="3">
        <f>ConsolidatedMHrequirementAug25!E17</f>
        <v/>
      </c>
      <c r="J17" s="41">
        <f>VLOOKUP(A17,ConsolidatedMHrequirementAug25!$A$4:$I$44,6,FALSE)</f>
        <v/>
      </c>
      <c r="K17" s="41" t="n"/>
      <c r="L17" s="3">
        <f>J17-K17</f>
        <v/>
      </c>
      <c r="M17" s="69">
        <f>ConsolidatedMHrequirementAug25!G17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ConsolidatedMHrequirementAug25!B18</f>
        <v/>
      </c>
      <c r="C18" s="41" t="n"/>
      <c r="D18" s="41" t="n"/>
      <c r="E18" s="41" t="n"/>
      <c r="F18" s="44" t="n">
        <v>1</v>
      </c>
      <c r="G18" s="3">
        <f>ConsolidatedMHrequirementAug25!D18</f>
        <v/>
      </c>
      <c r="H18" s="3">
        <f>ConsolidatedMHrequirementAug25!C18</f>
        <v/>
      </c>
      <c r="I18" s="3">
        <f>ConsolidatedMHrequirementAug25!E18</f>
        <v/>
      </c>
      <c r="J18" s="41">
        <f>VLOOKUP(A18,ConsolidatedMHrequirementAug25!$A$4:$I$44,6,FALSE)</f>
        <v/>
      </c>
      <c r="K18" s="41" t="n"/>
      <c r="L18" s="3">
        <f>J18-K18</f>
        <v/>
      </c>
      <c r="M18" s="69">
        <f>ConsolidatedMHrequirementAug25!G18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idden="1" ht="15" customFormat="1" customHeight="1" s="34">
      <c r="A19" s="10" t="inlineStr">
        <is>
          <t>B348</t>
        </is>
      </c>
      <c r="B19" s="3">
        <f>ConsolidatedMHrequirementAug25!B19</f>
        <v/>
      </c>
      <c r="C19" s="41" t="n"/>
      <c r="D19" s="41" t="n"/>
      <c r="E19" s="41" t="n"/>
      <c r="F19" s="44" t="n">
        <v>1</v>
      </c>
      <c r="G19" s="3">
        <f>ConsolidatedMHrequirementAug25!D19</f>
        <v/>
      </c>
      <c r="H19" s="3">
        <f>ConsolidatedMHrequirementAug25!C19</f>
        <v/>
      </c>
      <c r="I19" s="3">
        <f>ConsolidatedMHrequirementAug25!E19</f>
        <v/>
      </c>
      <c r="J19" s="41">
        <f>VLOOKUP(A19,ConsolidatedMHrequirementAug25!$A$4:$I$44,6,FALSE)</f>
        <v/>
      </c>
      <c r="K19" s="41" t="n">
        <v>26</v>
      </c>
      <c r="L19" s="3">
        <f>J19-K19</f>
        <v/>
      </c>
      <c r="M19" s="69">
        <f>ConsolidatedMHrequirementAug25!G19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idden="1" ht="15.5" customFormat="1" customHeight="1" s="34">
      <c r="A20" s="10" t="inlineStr">
        <is>
          <t>B359</t>
        </is>
      </c>
      <c r="B20" s="3">
        <f>ConsolidatedMHrequirementAug25!B20</f>
        <v/>
      </c>
      <c r="C20" s="41" t="n"/>
      <c r="D20" s="41" t="n"/>
      <c r="E20" s="41" t="n"/>
      <c r="F20" s="44" t="n"/>
      <c r="G20" s="3">
        <f>ConsolidatedMHrequirementAug25!D20</f>
        <v/>
      </c>
      <c r="H20" s="3">
        <f>ConsolidatedMHrequirementAug25!C20</f>
        <v/>
      </c>
      <c r="I20" s="3">
        <f>ConsolidatedMHrequirementAug25!E20</f>
        <v/>
      </c>
      <c r="J20" s="41">
        <f>VLOOKUP(A20,ConsolidatedMHrequirementAug25!$A$4:$I$44,6,FALSE)</f>
        <v/>
      </c>
      <c r="K20" s="41" t="n"/>
      <c r="L20" s="3">
        <f>J20-K20</f>
        <v/>
      </c>
      <c r="M20" s="69">
        <f>ConsolidatedMHrequirementAug25!G20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idden="1" ht="15" customFormat="1" customHeight="1" s="34">
      <c r="A21" s="10" t="inlineStr">
        <is>
          <t>B378</t>
        </is>
      </c>
      <c r="B21" s="3">
        <f>ConsolidatedMHrequirementAug25!B21</f>
        <v/>
      </c>
      <c r="C21" s="41" t="n"/>
      <c r="D21" s="41" t="n"/>
      <c r="E21" s="41" t="n"/>
      <c r="F21" s="44" t="n">
        <v>1</v>
      </c>
      <c r="G21" s="3">
        <f>ConsolidatedMHrequirementAug25!D21</f>
        <v/>
      </c>
      <c r="H21" s="3">
        <f>ConsolidatedMHrequirementAug25!C21</f>
        <v/>
      </c>
      <c r="I21" s="3">
        <f>ConsolidatedMHrequirementAug25!E21</f>
        <v/>
      </c>
      <c r="J21" s="41">
        <f>VLOOKUP(A21,ConsolidatedMHrequirementAug25!$A$4:$I$44,6,FALSE)</f>
        <v/>
      </c>
      <c r="K21" s="44" t="n">
        <v>116</v>
      </c>
      <c r="L21" s="3">
        <f>J21-K21</f>
        <v/>
      </c>
      <c r="M21" s="69">
        <f>ConsolidatedMHrequirementAug25!G21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B414</t>
        </is>
      </c>
      <c r="B22" s="3">
        <f>ConsolidatedMHrequirementAug25!B22</f>
        <v/>
      </c>
      <c r="C22" s="41" t="n"/>
      <c r="D22" s="41" t="n"/>
      <c r="E22" s="41" t="n"/>
      <c r="F22" s="44" t="n"/>
      <c r="G22" s="3">
        <f>ConsolidatedMHrequirementAug25!D22</f>
        <v/>
      </c>
      <c r="H22" s="3">
        <f>ConsolidatedMHrequirementAug25!C22</f>
        <v/>
      </c>
      <c r="I22" s="3">
        <f>ConsolidatedMHrequirementAug25!E22</f>
        <v/>
      </c>
      <c r="J22" s="41">
        <f>VLOOKUP(A22,ConsolidatedMHrequirementAug25!$A$4:$I$44,6,FALSE)</f>
        <v/>
      </c>
      <c r="K22" s="41" t="n"/>
      <c r="L22" s="3">
        <f>J22-K22</f>
        <v/>
      </c>
      <c r="M22" s="69">
        <f>ConsolidatedMHrequirementAug25!G22</f>
        <v/>
      </c>
      <c r="N22" s="69" t="n"/>
      <c r="O22" s="69" t="n"/>
      <c r="P22" s="69" t="n"/>
      <c r="Q22" s="69" t="n"/>
      <c r="R22" s="69" t="n"/>
      <c r="S22" s="69" t="n"/>
      <c r="T22" s="69" t="n"/>
      <c r="V22" s="48" t="n"/>
      <c r="W22" s="48" t="n"/>
      <c r="X22" s="48" t="n"/>
      <c r="Y22" s="48" t="n"/>
    </row>
    <row r="23" hidden="1" ht="15" customFormat="1" customHeight="1" s="34">
      <c r="A23" s="10" t="inlineStr">
        <is>
          <t>B436</t>
        </is>
      </c>
      <c r="B23" s="3">
        <f>ConsolidatedMHrequirementAug25!B23</f>
        <v/>
      </c>
      <c r="C23" s="41" t="n"/>
      <c r="D23" s="41" t="n"/>
      <c r="E23" s="41" t="n"/>
      <c r="F23" s="44" t="n"/>
      <c r="G23" s="3">
        <f>ConsolidatedMHrequirementAug25!D23</f>
        <v/>
      </c>
      <c r="H23" s="3">
        <f>ConsolidatedMHrequirementAug25!C23</f>
        <v/>
      </c>
      <c r="I23" s="3">
        <f>ConsolidatedMHrequirementAug25!E23</f>
        <v/>
      </c>
      <c r="J23" s="41">
        <f>VLOOKUP(A23,ConsolidatedMHrequirementAug25!$A$4:$I$44,6,FALSE)</f>
        <v/>
      </c>
      <c r="K23" s="41" t="n"/>
      <c r="L23" s="3">
        <f>J23-K23</f>
        <v/>
      </c>
      <c r="M23" s="69">
        <f>ConsolidatedMHrequirementAug25!G23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idden="1" ht="15" customFormat="1" customHeight="1" s="34">
      <c r="A24" s="10" t="inlineStr">
        <is>
          <t>B440</t>
        </is>
      </c>
      <c r="B24" s="3">
        <f>ConsolidatedMHrequirementAug25!B24</f>
        <v/>
      </c>
      <c r="C24" s="41" t="n"/>
      <c r="D24" s="41" t="n"/>
      <c r="E24" s="41" t="n"/>
      <c r="F24" s="44" t="n"/>
      <c r="G24" s="3">
        <f>ConsolidatedMHrequirementAug25!D24</f>
        <v/>
      </c>
      <c r="H24" s="3">
        <f>ConsolidatedMHrequirementAug25!C24</f>
        <v/>
      </c>
      <c r="I24" s="3">
        <f>ConsolidatedMHrequirementAug25!E24</f>
        <v/>
      </c>
      <c r="J24" s="41">
        <f>VLOOKUP(A24,ConsolidatedMHrequirementAug25!$A$4:$I$44,6,FALSE)</f>
        <v/>
      </c>
      <c r="K24" s="41" t="n">
        <v>0</v>
      </c>
      <c r="L24" s="3">
        <f>J24-K24</f>
        <v/>
      </c>
      <c r="M24" s="69">
        <f>ConsolidatedMHrequirementAug25!G24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idden="1" ht="15" customFormat="1" customHeight="1" s="34">
      <c r="A25" s="10" t="inlineStr">
        <is>
          <t>B448</t>
        </is>
      </c>
      <c r="B25" s="3">
        <f>ConsolidatedMHrequirementAug25!B25</f>
        <v/>
      </c>
      <c r="C25" s="41" t="n"/>
      <c r="D25" s="41" t="n"/>
      <c r="E25" s="41" t="n"/>
      <c r="F25" s="44" t="n"/>
      <c r="G25" s="3">
        <f>ConsolidatedMHrequirementAug25!D25</f>
        <v/>
      </c>
      <c r="H25" s="3">
        <f>ConsolidatedMHrequirementAug25!C25</f>
        <v/>
      </c>
      <c r="I25" s="3">
        <f>ConsolidatedMHrequirementAug25!E25</f>
        <v/>
      </c>
      <c r="J25" s="41">
        <f>VLOOKUP(A25,ConsolidatedMHrequirementAug25!$A$4:$I$44,6,FALSE)</f>
        <v/>
      </c>
      <c r="K25" s="41" t="n">
        <v>0</v>
      </c>
      <c r="L25" s="3">
        <f>J25-K25</f>
        <v/>
      </c>
      <c r="M25" s="69">
        <f>ConsolidatedMHrequirementAug25!G25</f>
        <v/>
      </c>
      <c r="N25" s="69" t="n"/>
      <c r="O25" s="69" t="n"/>
      <c r="P25" s="69" t="n"/>
      <c r="Q25" s="69" t="n"/>
      <c r="R25" s="69" t="n"/>
      <c r="S25" s="69" t="n"/>
      <c r="T25" s="69" t="n"/>
      <c r="V25" s="34" t="inlineStr">
        <is>
          <t xml:space="preserve"> </t>
        </is>
      </c>
      <c r="W25" s="34" t="inlineStr">
        <is>
          <t xml:space="preserve"> </t>
        </is>
      </c>
      <c r="X25" s="34" t="inlineStr">
        <is>
          <t xml:space="preserve"> </t>
        </is>
      </c>
      <c r="Y25" s="34" t="inlineStr">
        <is>
          <t xml:space="preserve"> </t>
        </is>
      </c>
    </row>
    <row r="26" hidden="1" ht="15" customFormat="1" customHeight="1" s="34">
      <c r="A26" s="10" t="inlineStr">
        <is>
          <t>B519</t>
        </is>
      </c>
      <c r="B26" s="3">
        <f>ConsolidatedMHrequirementAug25!B26</f>
        <v/>
      </c>
      <c r="C26" s="3" t="n"/>
      <c r="D26" s="3" t="n"/>
      <c r="E26" s="3" t="n"/>
      <c r="F26" s="90" t="n"/>
      <c r="G26" s="3">
        <f>ConsolidatedMHrequirementAug25!D26</f>
        <v/>
      </c>
      <c r="H26" s="3">
        <f>ConsolidatedMHrequirementAug25!C26</f>
        <v/>
      </c>
      <c r="I26" s="3">
        <f>ConsolidatedMHrequirementAug25!E26</f>
        <v/>
      </c>
      <c r="J26" s="41">
        <f>VLOOKUP(A26,ConsolidatedMHrequirementAug25!$A$4:$I$44,6,FALSE)</f>
        <v/>
      </c>
      <c r="K26" s="41" t="n"/>
      <c r="L26" s="3">
        <f>J26-K26</f>
        <v/>
      </c>
      <c r="M26" s="69">
        <f>ConsolidatedMHrequirementAug25!G26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 xml:space="preserve"> </t>
        </is>
      </c>
      <c r="W26" s="34" t="inlineStr">
        <is>
          <t xml:space="preserve"> </t>
        </is>
      </c>
    </row>
    <row r="27" hidden="1" s="125">
      <c r="A27" s="10" t="inlineStr">
        <is>
          <t>B548</t>
        </is>
      </c>
      <c r="B27" s="3">
        <f>ConsolidatedMHrequirementAug25!B27</f>
        <v/>
      </c>
      <c r="C27" s="41" t="n"/>
      <c r="D27" s="41" t="n"/>
      <c r="E27" s="41" t="n"/>
      <c r="F27" s="44" t="n"/>
      <c r="G27" s="3">
        <f>ConsolidatedMHrequirementAug25!D27</f>
        <v/>
      </c>
      <c r="H27" s="3">
        <f>ConsolidatedMHrequirementAug25!C27</f>
        <v/>
      </c>
      <c r="I27" s="3">
        <f>ConsolidatedMHrequirementAug25!E27</f>
        <v/>
      </c>
      <c r="J27" s="41">
        <f>VLOOKUP(A27,ConsolidatedMHrequirementAug25!$A$4:$I$44,6,FALSE)</f>
        <v/>
      </c>
      <c r="K27" s="41" t="n"/>
      <c r="L27" s="3">
        <f>J27-K27</f>
        <v/>
      </c>
      <c r="M27" s="69">
        <f>ConsolidatedMHrequirementAug25!G27</f>
        <v/>
      </c>
      <c r="N27" s="69" t="n"/>
      <c r="O27" s="69" t="n"/>
      <c r="P27" s="69" t="n"/>
      <c r="Q27" s="69" t="n"/>
      <c r="R27" s="69" t="n"/>
      <c r="S27" s="69" t="n"/>
      <c r="T27" s="69" t="n"/>
    </row>
    <row r="28" hidden="1" ht="15" customFormat="1" customHeight="1" s="34">
      <c r="A28" s="10" t="inlineStr">
        <is>
          <t>B559</t>
        </is>
      </c>
      <c r="B28" s="3">
        <f>ConsolidatedMHrequirementAug25!B28</f>
        <v/>
      </c>
      <c r="C28" s="3" t="n"/>
      <c r="D28" s="3" t="n"/>
      <c r="E28" s="3" t="n"/>
      <c r="F28" s="90" t="inlineStr">
        <is>
          <t xml:space="preserve"> </t>
        </is>
      </c>
      <c r="G28" s="3">
        <f>ConsolidatedMHrequirementAug25!D28</f>
        <v/>
      </c>
      <c r="H28" s="3">
        <f>ConsolidatedMHrequirementAug25!C28</f>
        <v/>
      </c>
      <c r="I28" s="3">
        <f>ConsolidatedMHrequirementAug25!E28</f>
        <v/>
      </c>
      <c r="J28" s="41">
        <f>VLOOKUP(A28,ConsolidatedMHrequirementAug25!$A$4:$I$44,6,FALSE)</f>
        <v/>
      </c>
      <c r="K28" s="41" t="n"/>
      <c r="L28" s="3">
        <f>J28-K28</f>
        <v/>
      </c>
      <c r="M28" s="69">
        <f>ConsolidatedMHrequirementAug25!G28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idden="1" ht="15" customFormat="1" customHeight="1" s="34">
      <c r="A29" s="10" t="inlineStr">
        <is>
          <t>B560</t>
        </is>
      </c>
      <c r="B29" s="3">
        <f>ConsolidatedMHrequirementAug25!B29</f>
        <v/>
      </c>
      <c r="C29" s="41" t="n"/>
      <c r="D29" s="41" t="n"/>
      <c r="E29" s="41" t="n"/>
      <c r="F29" s="44" t="n"/>
      <c r="G29" s="3">
        <f>ConsolidatedMHrequirementAug25!D29</f>
        <v/>
      </c>
      <c r="H29" s="3">
        <f>ConsolidatedMHrequirementAug25!C29</f>
        <v/>
      </c>
      <c r="I29" s="3">
        <f>ConsolidatedMHrequirementAug25!E29</f>
        <v/>
      </c>
      <c r="J29" s="41">
        <f>VLOOKUP(A29,ConsolidatedMHrequirementAug25!$A$4:$I$44,6,FALSE)</f>
        <v/>
      </c>
      <c r="K29" s="41" t="n"/>
      <c r="L29" s="3">
        <f>J29-K29</f>
        <v/>
      </c>
      <c r="M29" s="69">
        <f>ConsolidatedMHrequirementAug25!G29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idden="1" s="125">
      <c r="A30" s="10" t="inlineStr">
        <is>
          <t>B589</t>
        </is>
      </c>
      <c r="B30" s="3">
        <f>ConsolidatedMHrequirementAug25!B30</f>
        <v/>
      </c>
      <c r="C30" s="3" t="n"/>
      <c r="D30" s="3" t="n"/>
      <c r="E30" s="3" t="n"/>
      <c r="F30" s="66" t="n"/>
      <c r="G30" s="3">
        <f>ConsolidatedMHrequirementAug25!D30</f>
        <v/>
      </c>
      <c r="H30" s="3">
        <f>ConsolidatedMHrequirementAug25!C30</f>
        <v/>
      </c>
      <c r="I30" s="3">
        <f>ConsolidatedMHrequirementAug25!E30</f>
        <v/>
      </c>
      <c r="J30" s="41">
        <f>VLOOKUP(A30,ConsolidatedMHrequirementAug25!$A$4:$I$44,6,FALSE)</f>
        <v/>
      </c>
      <c r="K30" s="41" t="n"/>
      <c r="L30" s="3">
        <f>J30-K30</f>
        <v/>
      </c>
      <c r="M30" s="69">
        <f>ConsolidatedMHrequirementAug25!G30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idden="1" customFormat="1" s="34">
      <c r="A31" s="10" t="inlineStr">
        <is>
          <t>B650</t>
        </is>
      </c>
      <c r="B31" s="3">
        <f>ConsolidatedMHrequirementAug25!B31</f>
        <v/>
      </c>
      <c r="C31" s="3" t="n"/>
      <c r="D31" s="3" t="n"/>
      <c r="E31" s="3" t="n"/>
      <c r="F31" s="68" t="n"/>
      <c r="G31" s="3">
        <f>ConsolidatedMHrequirementAug25!D31</f>
        <v/>
      </c>
      <c r="H31" s="3">
        <f>ConsolidatedMHrequirementAug25!C31</f>
        <v/>
      </c>
      <c r="I31" s="3">
        <f>ConsolidatedMHrequirementAug25!E31</f>
        <v/>
      </c>
      <c r="J31" s="41">
        <f>VLOOKUP(A31,ConsolidatedMHrequirementAug25!$A$4:$I$44,6,FALSE)</f>
        <v/>
      </c>
      <c r="K31" s="41" t="n"/>
      <c r="L31" s="3">
        <f>J31-K31</f>
        <v/>
      </c>
      <c r="M31" s="69">
        <f>ConsolidatedMHrequirementAug25!G31</f>
        <v/>
      </c>
      <c r="N31" s="69" t="n"/>
      <c r="O31" s="69" t="n"/>
      <c r="P31" s="69" t="n"/>
      <c r="Q31" s="69" t="n"/>
      <c r="R31" s="69" t="n"/>
      <c r="S31" s="69" t="n"/>
      <c r="T31" s="69" t="n"/>
      <c r="X31" s="34" t="inlineStr">
        <is>
          <t xml:space="preserve"> </t>
        </is>
      </c>
    </row>
    <row r="32" hidden="1" ht="15" customFormat="1" customHeight="1" s="34">
      <c r="A32" s="10" t="inlineStr">
        <is>
          <t>B653</t>
        </is>
      </c>
      <c r="B32" s="3">
        <f>ConsolidatedMHrequirementAug25!B32</f>
        <v/>
      </c>
      <c r="C32" s="3" t="n"/>
      <c r="D32" s="3" t="n"/>
      <c r="E32" s="3" t="n"/>
      <c r="F32" s="66" t="n"/>
      <c r="G32" s="3">
        <f>ConsolidatedMHrequirementAug25!D32</f>
        <v/>
      </c>
      <c r="H32" s="3">
        <f>ConsolidatedMHrequirementAug25!C32</f>
        <v/>
      </c>
      <c r="I32" s="3">
        <f>ConsolidatedMHrequirementAug25!E32</f>
        <v/>
      </c>
      <c r="J32" s="41">
        <f>VLOOKUP(A32,ConsolidatedMHrequirementAug25!$A$4:$I$44,6,FALSE)</f>
        <v/>
      </c>
      <c r="K32" s="41" t="n"/>
      <c r="L32" s="3">
        <f>J32-K32</f>
        <v/>
      </c>
      <c r="M32" s="69">
        <f>ConsolidatedMHrequirementAug25!G32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hidden="1" ht="14.5" customFormat="1" customHeight="1" s="34">
      <c r="A33" s="10" t="inlineStr">
        <is>
          <t>B725</t>
        </is>
      </c>
      <c r="B33" s="3">
        <f>ConsolidatedMHrequirementAug25!B33</f>
        <v/>
      </c>
      <c r="C33" s="3" t="n"/>
      <c r="D33" s="3" t="n"/>
      <c r="E33" s="3" t="n"/>
      <c r="F33" s="68" t="n"/>
      <c r="G33" s="3">
        <f>ConsolidatedMHrequirementAug25!D33</f>
        <v/>
      </c>
      <c r="H33" s="3">
        <f>ConsolidatedMHrequirementAug25!C33</f>
        <v/>
      </c>
      <c r="I33" s="3">
        <f>ConsolidatedMHrequirementAug25!E33</f>
        <v/>
      </c>
      <c r="J33" s="41">
        <f>VLOOKUP(A33,ConsolidatedMHrequirementAug25!$A$4:$I$44,6,FALSE)</f>
        <v/>
      </c>
      <c r="K33" s="41" t="n"/>
      <c r="L33" s="3">
        <f>J33-K33</f>
        <v/>
      </c>
      <c r="M33" s="69">
        <f>ConsolidatedMHrequirementAug25!G33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hidden="1" ht="14.5" customFormat="1" customHeight="1" s="34">
      <c r="A34" s="10" t="inlineStr">
        <is>
          <t>B767</t>
        </is>
      </c>
      <c r="B34" s="3">
        <f>ConsolidatedMHrequirementAug25!B34</f>
        <v/>
      </c>
      <c r="C34" s="3" t="n"/>
      <c r="D34" s="3" t="n"/>
      <c r="E34" s="3" t="n"/>
      <c r="F34" s="68" t="n"/>
      <c r="G34" s="3">
        <f>ConsolidatedMHrequirementAug25!D34</f>
        <v/>
      </c>
      <c r="H34" s="3">
        <f>ConsolidatedMHrequirementAug25!C34</f>
        <v/>
      </c>
      <c r="I34" s="3">
        <f>ConsolidatedMHrequirementAug25!E34</f>
        <v/>
      </c>
      <c r="J34" s="41">
        <f>VLOOKUP(A34,ConsolidatedMHrequirementAug25!$A$4:$I$44,6,FALSE)</f>
        <v/>
      </c>
      <c r="K34" s="41" t="n"/>
      <c r="L34" s="3">
        <f>J34-K34</f>
        <v/>
      </c>
      <c r="M34" s="69">
        <f>ConsolidatedMHrequirementAug25!G34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idden="1" ht="14.5" customFormat="1" customHeight="1" s="34">
      <c r="A35" s="10" t="inlineStr">
        <is>
          <t>B795</t>
        </is>
      </c>
      <c r="B35" s="3">
        <f>ConsolidatedMHrequirementAug25!B35</f>
        <v/>
      </c>
      <c r="C35" s="3" t="n"/>
      <c r="D35" s="3" t="n"/>
      <c r="E35" s="3" t="n"/>
      <c r="F35" s="68" t="n"/>
      <c r="G35" s="3">
        <f>ConsolidatedMHrequirementAug25!D35</f>
        <v/>
      </c>
      <c r="H35" s="3">
        <f>ConsolidatedMHrequirementAug25!C35</f>
        <v/>
      </c>
      <c r="I35" s="3">
        <f>ConsolidatedMHrequirementAug25!E35</f>
        <v/>
      </c>
      <c r="J35" s="41">
        <f>VLOOKUP(A35,ConsolidatedMHrequirementAug25!$A$4:$I$44,6,FALSE)</f>
        <v/>
      </c>
      <c r="K35" s="41" t="n"/>
      <c r="L35" s="3">
        <f>J35-K35</f>
        <v/>
      </c>
      <c r="M35" s="69">
        <f>ConsolidatedMHrequirementAug25!G35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idden="1" ht="14.5" customFormat="1" customHeight="1" s="34">
      <c r="A36" s="10" t="inlineStr">
        <is>
          <t>B813</t>
        </is>
      </c>
      <c r="B36" s="3">
        <f>ConsolidatedMHrequirementAug25!B36</f>
        <v/>
      </c>
      <c r="C36" s="3" t="n"/>
      <c r="D36" s="3" t="n"/>
      <c r="E36" s="3" t="n"/>
      <c r="F36" s="68" t="n"/>
      <c r="G36" s="3">
        <f>ConsolidatedMHrequirementAug25!D36</f>
        <v/>
      </c>
      <c r="H36" s="3">
        <f>ConsolidatedMHrequirementAug25!C36</f>
        <v/>
      </c>
      <c r="I36" s="3">
        <f>ConsolidatedMHrequirementAug25!E36</f>
        <v/>
      </c>
      <c r="J36" s="41">
        <f>VLOOKUP(A36,ConsolidatedMHrequirementAug25!$A$4:$I$44,6,FALSE)</f>
        <v/>
      </c>
      <c r="K36" s="41" t="n"/>
      <c r="L36" s="3">
        <f>J36-K36</f>
        <v/>
      </c>
      <c r="M36" s="69">
        <f>ConsolidatedMHrequirementAug25!G36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idden="1" ht="14.5" customFormat="1" customHeight="1" s="34">
      <c r="A37" s="10" t="inlineStr">
        <is>
          <t>B861</t>
        </is>
      </c>
      <c r="B37" s="3">
        <f>ConsolidatedMHrequirementAug25!B37</f>
        <v/>
      </c>
      <c r="C37" s="3" t="n"/>
      <c r="D37" s="3" t="n"/>
      <c r="E37" s="3" t="n"/>
      <c r="F37" s="68" t="n"/>
      <c r="G37" s="3">
        <f>ConsolidatedMHrequirementAug25!D37</f>
        <v/>
      </c>
      <c r="H37" s="3">
        <f>ConsolidatedMHrequirementAug25!C37</f>
        <v/>
      </c>
      <c r="I37" s="3">
        <f>ConsolidatedMHrequirementAug25!E37</f>
        <v/>
      </c>
      <c r="J37" s="41">
        <f>VLOOKUP(A37,ConsolidatedMHrequirementAug25!$A$4:$I$44,6,FALSE)</f>
        <v/>
      </c>
      <c r="K37" s="41" t="n"/>
      <c r="L37" s="3">
        <f>J37-K37</f>
        <v/>
      </c>
      <c r="M37" s="69">
        <f>ConsolidatedMHrequirementAug25!G37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idden="1" ht="22" customFormat="1" customHeight="1" s="34">
      <c r="A38" s="10" t="inlineStr">
        <is>
          <t>B862</t>
        </is>
      </c>
      <c r="B38" s="3">
        <f>ConsolidatedMHrequirementAug25!B38</f>
        <v/>
      </c>
      <c r="C38" s="3" t="n"/>
      <c r="D38" s="3" t="n"/>
      <c r="E38" s="3" t="n"/>
      <c r="F38" s="66" t="n"/>
      <c r="G38" s="3">
        <f>ConsolidatedMHrequirementAug25!D38</f>
        <v/>
      </c>
      <c r="H38" s="3">
        <f>ConsolidatedMHrequirementAug25!C38</f>
        <v/>
      </c>
      <c r="I38" s="3">
        <f>ConsolidatedMHrequirementAug25!E38</f>
        <v/>
      </c>
      <c r="J38" s="41">
        <f>VLOOKUP(A38,ConsolidatedMHrequirementAug25!$A$4:$I$44,6,FALSE)</f>
        <v/>
      </c>
      <c r="K38" s="41" t="n"/>
      <c r="L38" s="3">
        <f>J38-K38</f>
        <v/>
      </c>
      <c r="M38" s="69">
        <f>ConsolidatedMHrequirementAug25!G38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idden="1" ht="19" customFormat="1" customHeight="1" s="34">
      <c r="A39" s="10" t="inlineStr">
        <is>
          <t>B865</t>
        </is>
      </c>
      <c r="B39" s="3">
        <f>ConsolidatedMHrequirementAug25!B39</f>
        <v/>
      </c>
      <c r="C39" s="3" t="n"/>
      <c r="D39" s="3" t="n"/>
      <c r="E39" s="3" t="n"/>
      <c r="F39" s="66" t="n"/>
      <c r="G39" s="3">
        <f>ConsolidatedMHrequirementAug25!D39</f>
        <v/>
      </c>
      <c r="H39" s="3">
        <f>ConsolidatedMHrequirementAug25!C39</f>
        <v/>
      </c>
      <c r="I39" s="3">
        <f>ConsolidatedMHrequirementAug25!E39</f>
        <v/>
      </c>
      <c r="J39" s="41">
        <f>VLOOKUP(A39,ConsolidatedMHrequirementAug25!$A$4:$I$44,6,FALSE)</f>
        <v/>
      </c>
      <c r="K39" s="44" t="n"/>
      <c r="L39" s="3">
        <f>J39-K39</f>
        <v/>
      </c>
      <c r="M39" s="69">
        <f>ConsolidatedMHrequirementAug25!G39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idden="1" ht="20" customFormat="1" customHeight="1" s="34">
      <c r="A40" s="10" t="inlineStr">
        <is>
          <t>B903</t>
        </is>
      </c>
      <c r="B40" s="3">
        <f>ConsolidatedMHrequirementAug25!B40</f>
        <v/>
      </c>
      <c r="C40" s="3" t="n"/>
      <c r="D40" s="3" t="n"/>
      <c r="E40" s="3" t="n"/>
      <c r="F40" s="66" t="n"/>
      <c r="G40" s="3">
        <f>ConsolidatedMHrequirementAug25!D40</f>
        <v/>
      </c>
      <c r="H40" s="3">
        <f>ConsolidatedMHrequirementAug25!C40</f>
        <v/>
      </c>
      <c r="I40" s="3">
        <f>ConsolidatedMHrequirementAug25!E40</f>
        <v/>
      </c>
      <c r="J40" s="41">
        <f>VLOOKUP(A40,ConsolidatedMHrequirementAug25!$A$4:$I$44,6,FALSE)</f>
        <v/>
      </c>
      <c r="K40" s="54" t="n"/>
      <c r="L40" s="3">
        <f>J40-K40</f>
        <v/>
      </c>
      <c r="M40" s="69">
        <f>ConsolidatedMHrequirementAug25!G40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idden="1" customFormat="1" s="34">
      <c r="A41" s="10" t="inlineStr">
        <is>
          <t>B904</t>
        </is>
      </c>
      <c r="B41" s="3">
        <f>ConsolidatedMHrequirementAug25!B41</f>
        <v/>
      </c>
      <c r="C41" s="41" t="n"/>
      <c r="D41" s="41" t="n"/>
      <c r="E41" s="41" t="n"/>
      <c r="F41" s="54" t="n"/>
      <c r="G41" s="3">
        <f>ConsolidatedMHrequirementAug25!D41</f>
        <v/>
      </c>
      <c r="H41" s="3">
        <f>ConsolidatedMHrequirementAug25!C41</f>
        <v/>
      </c>
      <c r="I41" s="3">
        <f>ConsolidatedMHrequirementAug25!E41</f>
        <v/>
      </c>
      <c r="J41" s="41">
        <f>VLOOKUP(A41,ConsolidatedMHrequirementAug25!$A$4:$I$44,6,FALSE)</f>
        <v/>
      </c>
      <c r="K41" s="41" t="n"/>
      <c r="L41" s="3">
        <f>J41-K41</f>
        <v/>
      </c>
      <c r="M41" s="69">
        <f>ConsolidatedMHrequirementAug25!G41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idden="1" customFormat="1" s="34">
      <c r="A42" s="10" t="inlineStr">
        <is>
          <t>B933</t>
        </is>
      </c>
      <c r="B42" s="3">
        <f>ConsolidatedMHrequirementAug25!B42</f>
        <v/>
      </c>
      <c r="C42" s="41" t="n"/>
      <c r="D42" s="41" t="n"/>
      <c r="E42" s="41" t="n"/>
      <c r="F42" s="54" t="n"/>
      <c r="G42" s="3">
        <f>ConsolidatedMHrequirementAug25!D42</f>
        <v/>
      </c>
      <c r="H42" s="3">
        <f>ConsolidatedMHrequirementAug25!C42</f>
        <v/>
      </c>
      <c r="I42" s="3">
        <f>ConsolidatedMHrequirementAug25!E42</f>
        <v/>
      </c>
      <c r="J42" s="41">
        <f>VLOOKUP(A42,ConsolidatedMHrequirementAug25!$A$4:$I$44,6,FALSE)</f>
        <v/>
      </c>
      <c r="K42" s="41" t="n"/>
      <c r="L42" s="3">
        <f>J42-K42</f>
        <v/>
      </c>
      <c r="M42" s="69" t="n"/>
      <c r="N42" s="69" t="n"/>
      <c r="O42" s="69" t="n"/>
      <c r="P42" s="69" t="n"/>
      <c r="Q42" s="69" t="n"/>
      <c r="R42" s="69" t="n"/>
      <c r="S42" s="69" t="n"/>
      <c r="T42" s="69" t="n"/>
    </row>
    <row r="43" hidden="1" customFormat="1" s="34">
      <c r="A43" s="10" t="inlineStr">
        <is>
          <t>C007</t>
        </is>
      </c>
      <c r="B43" s="3">
        <f>ConsolidatedMHrequirementAug25!B43</f>
        <v/>
      </c>
      <c r="C43" s="41" t="n"/>
      <c r="D43" s="41" t="n"/>
      <c r="E43" s="41" t="n"/>
      <c r="F43" s="54" t="n"/>
      <c r="G43" s="3">
        <f>ConsolidatedMHrequirementAug25!D43</f>
        <v/>
      </c>
      <c r="H43" s="3">
        <f>ConsolidatedMHrequirementAug25!C43</f>
        <v/>
      </c>
      <c r="I43" s="3">
        <f>ConsolidatedMHrequirementAug25!E43</f>
        <v/>
      </c>
      <c r="J43" s="41">
        <f>VLOOKUP(A43,ConsolidatedMHrequirementAug25!$A$4:$I$44,6,FALSE)</f>
        <v/>
      </c>
      <c r="K43" s="41" t="n">
        <v>88</v>
      </c>
      <c r="L43" s="3">
        <f>J43-K43</f>
        <v/>
      </c>
      <c r="M43" s="69">
        <f>ConsolidatedMHrequirementAug25!G43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idden="1" s="125">
      <c r="A44" s="3" t="inlineStr">
        <is>
          <t>Leave</t>
        </is>
      </c>
      <c r="B44" s="3">
        <f>ConsolidatedMHrequirementAug25!B44</f>
        <v/>
      </c>
      <c r="C44" s="3" t="n"/>
      <c r="D44" s="3" t="n"/>
      <c r="E44" s="3" t="n"/>
      <c r="F44" s="3" t="n"/>
      <c r="G44" s="3">
        <f>ConsolidatedMHrequirementAug25!D44</f>
        <v/>
      </c>
      <c r="H44" s="3">
        <f>ConsolidatedMHrequirementAug25!C44</f>
        <v/>
      </c>
      <c r="I44" s="3">
        <f>ConsolidatedMHrequirementAug25!E44</f>
        <v/>
      </c>
      <c r="J44" s="41">
        <f>VLOOKUP(A44,ConsolidatedMHrequirementAug25!$A$4:$I$44,6,FALSE)</f>
        <v/>
      </c>
      <c r="K44" s="41">
        <f>J44</f>
        <v/>
      </c>
      <c r="L44" s="3">
        <f>J44-K44</f>
        <v/>
      </c>
      <c r="M44" s="69">
        <f>ConsolidatedMHrequirementAug25!G44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idden="1" s="125">
      <c r="A45" s="3" t="inlineStr">
        <is>
          <t>Total</t>
        </is>
      </c>
      <c r="B45" s="3" t="n"/>
      <c r="C45" s="3" t="n"/>
      <c r="D45" s="3" t="n"/>
      <c r="E45" s="3" t="n"/>
      <c r="F45" s="3" t="n"/>
      <c r="G45" s="3">
        <f>ConsolidatedMHrequirementAug25!D45</f>
        <v/>
      </c>
      <c r="H45" s="3">
        <f>ConsolidatedMHrequirementAug25!C45</f>
        <v/>
      </c>
      <c r="I45" s="3">
        <f>ConsolidatedMHrequirementAug25!E45</f>
        <v/>
      </c>
      <c r="J45" s="41">
        <f>VLOOKUP(A45,ConsolidatedMHrequirementAug25!$A$4:$I$45,6,FALSE)</f>
        <v/>
      </c>
      <c r="K45" s="3">
        <f>SUM(K4:K44)</f>
        <v/>
      </c>
      <c r="L45" s="3">
        <f>SUM(L4:L44)</f>
        <v/>
      </c>
    </row>
    <row r="46">
      <c r="A46" s="55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55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24" t="inlineStr">
        <is>
          <t xml:space="preserve">Guidelines : 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</row>
    <row r="49">
      <c r="A49" s="26" t="inlineStr">
        <is>
          <t>1. Inspection Visit including review and endorsement of final documents: At  actual</t>
        </is>
      </c>
      <c r="B49" s="26" t="n"/>
    </row>
    <row r="50">
      <c r="A50" s="26" t="inlineStr">
        <is>
          <t xml:space="preserve">2. Expediting and preparation of expediting report: Average 2 hours /month /order ( No separate man hours for coordination ) </t>
        </is>
      </c>
    </row>
    <row r="51">
      <c r="A51" s="26" t="inlineStr">
        <is>
          <t xml:space="preserve">3. Expediting visit/ Attending meeting with project/.Client: At  actual </t>
        </is>
      </c>
    </row>
    <row r="52">
      <c r="A52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3">
      <c r="A53" s="26" t="inlineStr">
        <is>
          <t xml:space="preserve">5. Review of ITP for Equipment (Mechanical and Electrical/DCS etc): Average 2 hours/order </t>
        </is>
      </c>
    </row>
    <row r="54">
      <c r="A54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5">
      <c r="A55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6">
      <c r="A56" s="26" t="inlineStr">
        <is>
          <t xml:space="preserve">8. Order Closing report: Average 2 hours/Order  </t>
        </is>
      </c>
    </row>
  </sheetData>
  <autoFilter ref="A3:L45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pageMargins left="0.7" right="0.7" top="0.75" bottom="0.75" header="0.3" footer="0.3"/>
  <pageSetup orientation="landscape" scale="7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9"/>
  <sheetViews>
    <sheetView topLeftCell="A25" zoomScale="85" zoomScaleNormal="85" workbookViewId="0">
      <selection activeCell="H27" sqref="H27"/>
    </sheetView>
  </sheetViews>
  <sheetFormatPr baseColWidth="8" defaultRowHeight="14.5"/>
  <cols>
    <col width="12.453125" customWidth="1" style="4" min="1" max="1"/>
    <col width="10.54296875" customWidth="1" style="125" min="2" max="2"/>
    <col width="17.08984375" customWidth="1" style="125" min="9" max="9"/>
    <col width="15" customWidth="1" style="125" min="13" max="15"/>
  </cols>
  <sheetData>
    <row r="1">
      <c r="A1" s="118" t="inlineStr">
        <is>
          <t>Consolidated man hour requirement  for Sep'25</t>
        </is>
      </c>
      <c r="B1" s="111" t="n"/>
      <c r="C1" s="111" t="n"/>
      <c r="D1" s="111" t="n"/>
      <c r="E1" s="111" t="n"/>
      <c r="F1" s="111" t="n"/>
      <c r="G1" s="111" t="n"/>
      <c r="H1" s="111" t="n"/>
      <c r="I1" s="112" t="n"/>
    </row>
    <row r="2">
      <c r="A2" s="52">
        <f>(21*8*6)</f>
        <v/>
      </c>
      <c r="B2" s="111" t="n"/>
      <c r="C2" s="111" t="n"/>
      <c r="D2" s="111" t="n"/>
      <c r="E2" s="111" t="n"/>
      <c r="F2" s="111" t="n"/>
      <c r="G2" s="111" t="n"/>
      <c r="H2" s="111" t="n"/>
      <c r="I2" s="112" t="n"/>
      <c r="J2" s="1" t="n"/>
      <c r="K2" s="111" t="n"/>
      <c r="L2" s="111" t="n"/>
      <c r="M2" s="112" t="n"/>
    </row>
    <row r="3" ht="41.25" customHeight="1" s="125">
      <c r="A3" s="3" t="inlineStr">
        <is>
          <t>Job No</t>
        </is>
      </c>
      <c r="B3" s="3" t="inlineStr">
        <is>
          <t>No. of orders</t>
        </is>
      </c>
      <c r="C3" s="3" t="inlineStr">
        <is>
          <t>Exp.</t>
        </is>
      </c>
      <c r="D3" s="3" t="inlineStr">
        <is>
          <t>Inspn</t>
        </is>
      </c>
      <c r="E3" s="9" t="inlineStr">
        <is>
          <t>Others</t>
        </is>
      </c>
      <c r="F3" s="3" t="inlineStr">
        <is>
          <t>Total</t>
        </is>
      </c>
      <c r="G3" s="1" t="inlineStr">
        <is>
          <t>*Others/ Remarks</t>
        </is>
      </c>
      <c r="H3" s="111" t="n"/>
      <c r="I3" s="112" t="n"/>
      <c r="J3" s="110" t="inlineStr">
        <is>
          <t>Insp/ Project Coordinators</t>
        </is>
      </c>
      <c r="K3" s="111" t="n"/>
      <c r="L3" s="111" t="n"/>
      <c r="M3" s="112" t="n"/>
      <c r="N3" s="2" t="inlineStr">
        <is>
          <t xml:space="preserve">MH available as on </t>
        </is>
      </c>
      <c r="O3" s="5" t="inlineStr">
        <is>
          <t>MH to be released for Sep'25</t>
        </is>
      </c>
      <c r="P3" t="inlineStr">
        <is>
          <t>Allotted</t>
        </is>
      </c>
      <c r="Q3" t="inlineStr">
        <is>
          <t>8518 reqd</t>
        </is>
      </c>
    </row>
    <row r="4" ht="51.5" customHeight="1" s="125">
      <c r="A4" s="3" t="n">
        <v>4994</v>
      </c>
      <c r="B4" s="3" t="n">
        <v>2</v>
      </c>
      <c r="C4" s="3" t="n"/>
      <c r="D4" s="3" t="n"/>
      <c r="E4" s="9">
        <f>8*B4</f>
        <v/>
      </c>
      <c r="F4" s="3">
        <f>SUM(C4:E4)</f>
        <v/>
      </c>
      <c r="G4" s="62" t="inlineStr">
        <is>
          <t>Reval:Enginemates, Belgaum Aqua(16h)-16h rel on 3/10[4446]</t>
        </is>
      </c>
      <c r="H4" s="63" t="n"/>
      <c r="I4" s="64" t="n"/>
      <c r="J4" s="110" t="inlineStr">
        <is>
          <t>Rajesh Sinha</t>
        </is>
      </c>
      <c r="K4" s="111" t="n"/>
      <c r="L4" s="111" t="n"/>
      <c r="M4" s="112" t="n"/>
      <c r="N4" s="3" t="n">
        <v>0</v>
      </c>
      <c r="O4" s="3" t="n">
        <v>32</v>
      </c>
      <c r="P4" t="n">
        <v>0</v>
      </c>
      <c r="Q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</t>
        </is>
      </c>
    </row>
    <row r="5" ht="46" customHeight="1" s="125">
      <c r="A5" s="3" t="n">
        <v>6979</v>
      </c>
      <c r="B5" s="3" t="n"/>
      <c r="C5" s="3" t="n"/>
      <c r="D5" s="3" t="n"/>
      <c r="E5" s="9" t="n"/>
      <c r="F5" s="3" t="n">
        <v>0</v>
      </c>
      <c r="G5" s="56" t="n"/>
      <c r="H5" s="56" t="n"/>
      <c r="I5" s="56" t="n"/>
      <c r="J5" s="110" t="n"/>
      <c r="K5" s="111" t="n"/>
      <c r="L5" s="111" t="n"/>
      <c r="M5" s="112" t="n"/>
      <c r="N5" s="3" t="n"/>
      <c r="O5" s="3" t="n"/>
      <c r="Q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>
        <v>0</v>
      </c>
      <c r="E6" s="9">
        <f>8*0</f>
        <v/>
      </c>
      <c r="F6" s="3">
        <f>SUM(C6:E6)</f>
        <v/>
      </c>
      <c r="G6" s="62" t="n"/>
      <c r="H6" s="63" t="n"/>
      <c r="I6" s="64" t="n"/>
      <c r="J6" s="110" t="inlineStr">
        <is>
          <t>Sanjeev Kumar/ Yatendra Agrawal - EIB Renovation</t>
        </is>
      </c>
      <c r="K6" s="111" t="n"/>
      <c r="L6" s="111" t="n"/>
      <c r="M6" s="112" t="n"/>
      <c r="N6" s="3" t="n"/>
      <c r="O6" s="3" t="n"/>
      <c r="P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>
        <v>0</v>
      </c>
      <c r="D7" s="3" t="n">
        <v>0</v>
      </c>
      <c r="E7" s="9" t="n"/>
      <c r="F7" s="3" t="n">
        <v>200</v>
      </c>
      <c r="G7" s="62" t="inlineStr">
        <is>
          <t>Admin works,Insp Guidelines/Typ Test review/ITP revision(E&amp;I ITPS)/Std. Spec review-mtgs with Inst. Engg. on Cryo Test Procedure &amp; Flow Meter MR improvements,other miscellaneous works incl. Dept Mktg leads (HAL/BEL/IIMB); Hosp Nomination;Capex Requirements for Off. &amp; GH, Vehicle Hiring Contract</t>
        </is>
      </c>
      <c r="H7" s="63" t="n"/>
      <c r="I7" s="64" t="n"/>
      <c r="J7" s="110" t="inlineStr">
        <is>
          <t xml:space="preserve"> Tech Develop &amp; OH</t>
        </is>
      </c>
      <c r="K7" s="111" t="n"/>
      <c r="L7" s="111" t="n"/>
      <c r="M7" s="112" t="n"/>
      <c r="N7" s="3" t="n">
        <v>300</v>
      </c>
      <c r="O7" s="3" t="n"/>
      <c r="Q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</t>
        </is>
      </c>
    </row>
    <row r="8" ht="123" customHeight="1" s="125">
      <c r="A8" s="3" t="n">
        <v>8590</v>
      </c>
      <c r="B8" s="3" t="n"/>
      <c r="C8" s="3" t="n"/>
      <c r="D8" s="3" t="n">
        <v>0</v>
      </c>
      <c r="E8" s="9" t="n"/>
      <c r="F8" s="3">
        <f>SUM(C8:E8)</f>
        <v/>
      </c>
      <c r="G8" s="62" t="n"/>
      <c r="H8" s="63" t="n"/>
      <c r="I8" s="64" t="n"/>
      <c r="J8" s="110" t="n"/>
      <c r="K8" s="111" t="n"/>
      <c r="L8" s="111" t="n"/>
      <c r="M8" s="112" t="n"/>
      <c r="N8" s="3" t="n"/>
      <c r="O8" s="3" t="n"/>
    </row>
    <row r="9" ht="41.25" customHeight="1" s="125">
      <c r="A9" s="3" t="inlineStr">
        <is>
          <t>B016</t>
        </is>
      </c>
      <c r="B9" s="3" t="n">
        <v>0</v>
      </c>
      <c r="C9" s="3" t="n">
        <v>0</v>
      </c>
      <c r="D9" s="3" t="n"/>
      <c r="E9" s="9" t="n">
        <v>0</v>
      </c>
      <c r="F9" s="3" t="n">
        <v>0</v>
      </c>
      <c r="G9" s="57" t="inlineStr">
        <is>
          <t xml:space="preserve"> </t>
        </is>
      </c>
      <c r="H9" s="58" t="inlineStr">
        <is>
          <t xml:space="preserve"> </t>
        </is>
      </c>
      <c r="I9" s="59" t="inlineStr">
        <is>
          <t xml:space="preserve"> </t>
        </is>
      </c>
      <c r="J9" s="110" t="inlineStr">
        <is>
          <t>Uday Pratap Singh/Pankaj Saxena/Alok Singh</t>
        </is>
      </c>
      <c r="K9" s="111" t="n"/>
      <c r="L9" s="111" t="n"/>
      <c r="M9" s="112" t="n"/>
      <c r="N9" s="2" t="n"/>
      <c r="O9" s="5" t="n"/>
      <c r="Q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1</v>
      </c>
      <c r="C10" s="3">
        <f>1*8</f>
        <v/>
      </c>
      <c r="D10" s="3" t="n">
        <v>0</v>
      </c>
      <c r="E10" s="12" t="n">
        <v>0</v>
      </c>
      <c r="F10" s="3">
        <f>C10+D10+E10</f>
        <v/>
      </c>
      <c r="G10" s="126" t="inlineStr">
        <is>
          <t>Expediting - Greensol;</t>
        </is>
      </c>
      <c r="H10" s="111" t="n"/>
      <c r="I10" s="112" t="n"/>
      <c r="J10" s="110" t="inlineStr">
        <is>
          <t>Saeed Akhtar/ D Jana</t>
        </is>
      </c>
      <c r="K10" s="111" t="n"/>
      <c r="L10" s="111" t="n"/>
      <c r="M10" s="112" t="n"/>
      <c r="N10" s="3" t="n">
        <v>0</v>
      </c>
      <c r="O10" s="3">
        <f>F10-N10</f>
        <v/>
      </c>
      <c r="P10" t="inlineStr">
        <is>
          <t xml:space="preserve"> </t>
        </is>
      </c>
      <c r="Q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>
        <f>2*B11</f>
        <v/>
      </c>
      <c r="D11" s="3" t="n">
        <v>0</v>
      </c>
      <c r="E11" s="9" t="n">
        <v>0</v>
      </c>
      <c r="F11" s="3">
        <f>C11+D11+E11</f>
        <v/>
      </c>
      <c r="G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H11" s="111" t="n"/>
      <c r="I11" s="112" t="n"/>
      <c r="J11" s="110" t="inlineStr">
        <is>
          <t>Himanghsu Pal/Sanjeev Kumar/Aasheesh Handa</t>
        </is>
      </c>
      <c r="K11" s="111" t="n"/>
      <c r="L11" s="111" t="n"/>
      <c r="M11" s="112" t="n"/>
      <c r="N11" s="3" t="n">
        <v>0</v>
      </c>
      <c r="O11" s="3">
        <f>F11-N11</f>
        <v/>
      </c>
      <c r="Q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1</v>
      </c>
      <c r="C12" s="3" t="n">
        <v>0</v>
      </c>
      <c r="D12" s="3" t="n"/>
      <c r="E12" s="9" t="n"/>
      <c r="F12" s="3" t="n">
        <v>0</v>
      </c>
      <c r="G12" s="56" t="inlineStr">
        <is>
          <t xml:space="preserve"> </t>
        </is>
      </c>
      <c r="H12" s="60" t="n"/>
      <c r="I12" s="61" t="n"/>
      <c r="J12" s="110" t="inlineStr">
        <is>
          <t>Patra/Sanjay Dhuria</t>
        </is>
      </c>
      <c r="K12" s="111" t="n"/>
      <c r="L12" s="111" t="n"/>
      <c r="M12" s="112" t="n"/>
      <c r="N12" s="3" t="n"/>
      <c r="O12" s="3" t="n"/>
      <c r="Q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inlineStr">
        <is>
          <t xml:space="preserve"> </t>
        </is>
      </c>
      <c r="D13" s="3" t="inlineStr">
        <is>
          <t xml:space="preserve"> </t>
        </is>
      </c>
      <c r="E13" s="9" t="n"/>
      <c r="F13" s="3">
        <f>8*32</f>
        <v/>
      </c>
      <c r="G13" s="62" t="inlineStr">
        <is>
          <t>Insp: KSBMIL-Control Valves-(6d);Emerson/FCRI-(3d);Megha/C&amp;S-Sw Bds-(3d);ABB/AVR-(1d);Siemens/ABB-AVR-(2d);DMW/Tmeic-HT Motors-(3d);Southern Lub -LOS-2systems-(4d);Others- (3d) ;Doc Rev: Hitachi-Capac(0.5d);ABB Anal-13/9(0.5d);MEIL-SLLDPE/PPU/Pkg9/Pkg10, Elec &amp; Inst. QAPs(30nos)-(9d);Exp: C&amp;S,Triveni Turb-1d; 418h rel on 27/10[6972]</t>
        </is>
      </c>
      <c r="H13" s="63" t="n"/>
      <c r="I13" s="64" t="n"/>
      <c r="J13" s="110" t="inlineStr">
        <is>
          <t>G Suresh/Mr Dipak Panchal /Ms Gauri Sharma/ Mr Sunil Saurabh</t>
        </is>
      </c>
      <c r="K13" s="111" t="n"/>
      <c r="L13" s="111" t="n"/>
      <c r="M13" s="112" t="n"/>
      <c r="N13" s="3" t="n">
        <v>0</v>
      </c>
      <c r="O13" s="3" t="n">
        <v>56</v>
      </c>
      <c r="Q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>
        <f>2*B14</f>
        <v/>
      </c>
      <c r="D14" s="3" t="n"/>
      <c r="E14" s="9" t="n">
        <v>0</v>
      </c>
      <c r="F14" s="3">
        <f>SUM(C14:E14)</f>
        <v/>
      </c>
      <c r="G14" s="62" t="n"/>
      <c r="H14" s="63" t="n"/>
      <c r="I14" s="64" t="n"/>
      <c r="J14" s="110" t="inlineStr">
        <is>
          <t>Muthu/Patra/JPS Kalra/DK Kesri</t>
        </is>
      </c>
      <c r="K14" s="111" t="n"/>
      <c r="L14" s="111" t="n"/>
      <c r="M14" s="112" t="n"/>
      <c r="N14" s="3" t="n"/>
      <c r="O14" s="3" t="n"/>
      <c r="Q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18</v>
      </c>
      <c r="C15" s="3">
        <f>2*B15+4*2</f>
        <v/>
      </c>
      <c r="D15" s="3">
        <f>8*3</f>
        <v/>
      </c>
      <c r="E15" s="9">
        <f>8*3</f>
        <v/>
      </c>
      <c r="F15" s="3">
        <f>SUM(C15:E15)</f>
        <v/>
      </c>
      <c r="G15" s="62" t="inlineStr">
        <is>
          <t>13 running orders+ 4Orders FD sub expediting+1OCS; Critical Item Insp - YIL- U&amp;O FAT-(3d); BDK visit- (1d) for expediting rectification/replacement of valves recd.frm site; Weekly VC with BDK -(2d);</t>
        </is>
      </c>
      <c r="H15" s="63" t="n"/>
      <c r="I15" s="64" t="n"/>
      <c r="J15" s="110" t="inlineStr">
        <is>
          <t>Muthu/VA/Rajesh Bhatla/Arun Singh Arya/Sanjay Chaudhary</t>
        </is>
      </c>
      <c r="K15" s="111" t="n"/>
      <c r="L15" s="111" t="n"/>
      <c r="M15" s="112" t="n"/>
      <c r="N15" s="3" t="n">
        <v>0</v>
      </c>
      <c r="O15" s="3" t="n"/>
      <c r="Q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</t>
        </is>
      </c>
    </row>
    <row r="16" ht="51.5" customHeight="1" s="125">
      <c r="A16" s="10" t="inlineStr">
        <is>
          <t>B285</t>
        </is>
      </c>
      <c r="B16" s="3" t="n"/>
      <c r="C16" s="3" t="n"/>
      <c r="D16" s="3" t="n"/>
      <c r="E16" s="9" t="n"/>
      <c r="F16" s="3" t="n">
        <v>0</v>
      </c>
      <c r="G16" s="56" t="inlineStr">
        <is>
          <t xml:space="preserve"> </t>
        </is>
      </c>
      <c r="H16" s="60" t="n"/>
      <c r="I16" s="61" t="n"/>
      <c r="J16" s="110" t="inlineStr">
        <is>
          <t>Sanjeev Kumar/Vikalp Paliwal</t>
        </is>
      </c>
      <c r="K16" s="111" t="n"/>
      <c r="L16" s="111" t="n"/>
      <c r="M16" s="112" t="n"/>
      <c r="N16" s="3" t="n"/>
      <c r="O16" s="3" t="n"/>
    </row>
    <row r="17" ht="112" customHeight="1" s="125">
      <c r="A17" s="10" t="inlineStr">
        <is>
          <t>B297</t>
        </is>
      </c>
      <c r="B17" s="3" t="n">
        <v>5</v>
      </c>
      <c r="C17" s="3">
        <f>2*B17+4</f>
        <v/>
      </c>
      <c r="D17" s="3">
        <f>8*1</f>
        <v/>
      </c>
      <c r="E17" s="9">
        <f>8*0.5</f>
        <v/>
      </c>
      <c r="F17" s="3">
        <f>SUM(C17:E17)</f>
        <v/>
      </c>
      <c r="G17" s="62" t="inlineStr">
        <is>
          <t>Exp-5 ord-1 runn ord, 4-FD sub exp Insp: PO 315-Belgaum Aqua-(1d)</t>
        </is>
      </c>
      <c r="H17" s="63" t="n"/>
      <c r="I17" s="64" t="n"/>
      <c r="J17" s="110" t="inlineStr">
        <is>
          <t>Muthu/NS Vasudev/Manish Tiwari - GAIL Pata</t>
        </is>
      </c>
      <c r="K17" s="111" t="n"/>
      <c r="L17" s="111" t="n"/>
      <c r="M17" s="112" t="n"/>
      <c r="N17" s="3" t="n">
        <v>10</v>
      </c>
      <c r="O17" s="3" t="n"/>
      <c r="Q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4</v>
      </c>
      <c r="C18" s="3">
        <f>2*4+4*2</f>
        <v/>
      </c>
      <c r="D18" s="3">
        <f>8*12</f>
        <v/>
      </c>
      <c r="E18" s="9">
        <f>8*1</f>
        <v/>
      </c>
      <c r="F18" s="3">
        <f>SUM(C18:E18)</f>
        <v/>
      </c>
      <c r="G18" s="62" t="inlineStr">
        <is>
          <t>4 Running orders ;Doc rev: -YIL-103-QAPs&amp;CatC B/outs review ; Inspn: SSIPL-Trafo (3d);YIL-103-Turnkey Instn Pkg-Field Insts-(2d);KEPL/Tmeic-Drives-(2d);PLC FAT -(3d);</t>
        </is>
      </c>
      <c r="H18" s="63" t="n"/>
      <c r="I18" s="64" t="n"/>
      <c r="J18" s="110" t="inlineStr">
        <is>
          <t>Muthu/Hemant Gadasia/D Jana(302-1)/RK Medhavi/Abhishek Rai/Balbir Singh (01-P/L &amp; 02- COT) - pump order - 02; FOA also to incl. Unit no for correlation</t>
        </is>
      </c>
      <c r="K18" s="111" t="n"/>
      <c r="L18" s="111" t="n"/>
      <c r="M18" s="112" t="n"/>
      <c r="N18" s="3" t="n"/>
      <c r="O18" s="3" t="n"/>
      <c r="Q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12</v>
      </c>
      <c r="C19" s="3">
        <f>2*B19+2*2</f>
        <v/>
      </c>
      <c r="D19" s="3" t="n">
        <v>0</v>
      </c>
      <c r="E19" s="9" t="n">
        <v>0</v>
      </c>
      <c r="F19" s="3">
        <f>SUM(C19:E19)</f>
        <v/>
      </c>
      <c r="G19" s="62" t="inlineStr">
        <is>
          <t>12 orders incl. 5 FD exp.</t>
        </is>
      </c>
      <c r="H19" s="62" t="n"/>
      <c r="I19" s="62" t="n"/>
      <c r="J19" s="110" t="inlineStr">
        <is>
          <t>Sanjeev Kumar/Lavish/HarshVardhan</t>
        </is>
      </c>
      <c r="K19" s="111" t="n"/>
      <c r="L19" s="111" t="n"/>
      <c r="M19" s="112" t="n"/>
      <c r="N19" s="3" t="n">
        <v>1</v>
      </c>
      <c r="O19" s="3" t="n"/>
      <c r="Q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</t>
        </is>
      </c>
    </row>
    <row r="20" ht="83.5" customHeight="1" s="125">
      <c r="A20" s="3" t="inlineStr">
        <is>
          <t>B359</t>
        </is>
      </c>
      <c r="B20" s="3" t="n"/>
      <c r="C20" s="3" t="n"/>
      <c r="D20" s="3" t="n">
        <v>0</v>
      </c>
      <c r="E20" s="9" t="n">
        <v>0</v>
      </c>
      <c r="F20" s="3">
        <f>SUM(C20:E20)</f>
        <v/>
      </c>
      <c r="G20" s="62" t="inlineStr">
        <is>
          <t xml:space="preserve"> </t>
        </is>
      </c>
      <c r="H20" s="62" t="n"/>
      <c r="I20" s="62" t="n"/>
      <c r="J20" s="110" t="inlineStr">
        <is>
          <t>Chandrashekhar/Sumanta Mondal/Abhishek/Sarvesh Kumar</t>
        </is>
      </c>
      <c r="K20" s="111" t="n"/>
      <c r="L20" s="111" t="n"/>
      <c r="M20" s="112" t="n"/>
      <c r="N20" s="3" t="n"/>
      <c r="O20" s="3" t="n"/>
      <c r="Q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s="3" t="n">
        <v>25</v>
      </c>
      <c r="C21" s="3">
        <f>2*B21+2*9</f>
        <v/>
      </c>
      <c r="D21" s="3">
        <f>8*11</f>
        <v/>
      </c>
      <c r="E21" s="9">
        <f>8*2</f>
        <v/>
      </c>
      <c r="F21" s="3">
        <f>SUM(C21:E21)</f>
        <v/>
      </c>
      <c r="G21" s="62" t="inlineStr">
        <is>
          <t xml:space="preserve"> 25 ord Expediting(incl  11ord FD sub exp)+9 OCS;Coordination/resolution of site issues-(1d);YIL &amp; ABB- Mtg. with Sr. Mgmt Team for expediting O/s supply &amp; site activities (1d) Inspn:Paramount/KSBMIL-Control Vlv(1d);IL-PO797-Control Vlv-(2d);ABB- Analyser Shelter -618 (2d);Others- Doc Rev-ABB-ECS-(0.5d) - 122h rel on 8/10[4904]</t>
        </is>
      </c>
      <c r="H21" s="62" t="n"/>
      <c r="I21" s="62" t="n"/>
      <c r="J21" s="110" t="inlineStr">
        <is>
          <t>Muthu/Sumanta Mondal/Ajay Gupta/Rajeev Kr Khandelwal/Prakash Jagarwal/Deepak Dinkar -GAIL Usar</t>
        </is>
      </c>
      <c r="K21" s="111" t="n"/>
      <c r="L21" s="111" t="n"/>
      <c r="M21" s="112" t="n"/>
      <c r="N21" s="3" t="n">
        <v>0</v>
      </c>
      <c r="O21" s="3" t="n"/>
      <c r="Q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</t>
        </is>
      </c>
    </row>
    <row r="22" ht="83.5" customHeight="1" s="125">
      <c r="A22" s="10" t="inlineStr">
        <is>
          <t>B414</t>
        </is>
      </c>
      <c r="B22" s="3" t="n">
        <v>4</v>
      </c>
      <c r="C22" s="3">
        <f>2*B22+1*4</f>
        <v/>
      </c>
      <c r="D22" s="3">
        <f>8*0</f>
        <v/>
      </c>
      <c r="E22" s="9">
        <f>8*5.5</f>
        <v/>
      </c>
      <c r="F22" s="3">
        <f>SUM(C22:E22)</f>
        <v/>
      </c>
      <c r="G22" s="62" t="inlineStr">
        <is>
          <t>4 orders ( incl. 3 FD expediting); Pace process QAP appls.-(3d);</t>
        </is>
      </c>
      <c r="H22" s="62" t="n"/>
      <c r="I22" s="62" t="n"/>
      <c r="J22" s="110" t="inlineStr">
        <is>
          <t>Sanjeev/ Shnaoli Nath</t>
        </is>
      </c>
      <c r="K22" s="111" t="n"/>
      <c r="L22" s="111" t="n"/>
      <c r="M22" s="112" t="n"/>
      <c r="N22" s="3" t="n"/>
      <c r="O22" s="3" t="n"/>
      <c r="Q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3" ht="83.5" customHeight="1" s="125">
      <c r="A23" s="10" t="inlineStr">
        <is>
          <t>B436</t>
        </is>
      </c>
      <c r="B23" s="3" t="n">
        <v>1</v>
      </c>
      <c r="C23" s="3" t="n">
        <v>2</v>
      </c>
      <c r="D23" s="3" t="n">
        <v>0</v>
      </c>
      <c r="E23" s="9" t="n">
        <v>0</v>
      </c>
      <c r="F23" s="3">
        <f>SUM(C23:E23)</f>
        <v/>
      </c>
      <c r="G23" s="62" t="inlineStr">
        <is>
          <t xml:space="preserve">SCADA order on ABB </t>
        </is>
      </c>
      <c r="H23" s="62" t="n"/>
      <c r="I23" s="62" t="n"/>
      <c r="J23" s="110" t="inlineStr">
        <is>
          <t>T Ravi/Sangram Mishra/NS Vasudev</t>
        </is>
      </c>
      <c r="K23" s="111" t="n"/>
      <c r="L23" s="111" t="n"/>
      <c r="M23" s="112" t="n"/>
      <c r="N23" s="3" t="n"/>
      <c r="O23" s="3" t="n"/>
      <c r="P23" t="inlineStr">
        <is>
          <t>10h rel on 22/5;26h rel on 12/10[38]</t>
        </is>
      </c>
    </row>
    <row r="24" ht="121.5" customHeight="1" s="125">
      <c r="A24" s="10" t="inlineStr">
        <is>
          <t>B440</t>
        </is>
      </c>
      <c r="B24" s="3" t="n">
        <v>16</v>
      </c>
      <c r="C24" s="3">
        <f>2*B24 + 1*4</f>
        <v/>
      </c>
      <c r="D24" s="3">
        <f>8*1</f>
        <v/>
      </c>
      <c r="E24" s="9" t="n">
        <v>0</v>
      </c>
      <c r="F24" s="3">
        <f>SUM(C24:E24)</f>
        <v/>
      </c>
      <c r="G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Clarifications-8/7(0.5d)-</t>
        </is>
      </c>
      <c r="H24" s="62" t="n"/>
      <c r="I24" s="62" t="n"/>
      <c r="J24" s="110" t="inlineStr">
        <is>
          <t>Mittal/Ayush Mathur/Shivaji/VVR Murthy</t>
        </is>
      </c>
      <c r="K24" s="111" t="n"/>
      <c r="L24" s="111" t="inlineStr">
        <is>
          <t>51h rel on 23/10[341]</t>
        </is>
      </c>
      <c r="M24" s="112" t="n"/>
      <c r="N24" s="3" t="n"/>
      <c r="O24" s="3" t="n"/>
      <c r="P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5" ht="83.5" customHeight="1" s="125">
      <c r="A25" s="10" t="inlineStr">
        <is>
          <t>B448</t>
        </is>
      </c>
      <c r="B25" s="3" t="n">
        <v>1</v>
      </c>
      <c r="C25" s="3" t="n">
        <v>0</v>
      </c>
      <c r="D25" s="3">
        <f>8*3</f>
        <v/>
      </c>
      <c r="E25" s="9">
        <f>8*3</f>
        <v/>
      </c>
      <c r="F25" s="3">
        <f>SUM(C25:E25)</f>
        <v/>
      </c>
      <c r="G25" s="62" t="inlineStr">
        <is>
          <t xml:space="preserve"> Insp. &amp; exp. Of Direct ordered items; For LSTK, insp@ payment on manday item rate;resolution of queries on insp from bid till compln. Of pjt;expediting, if reqd. by Owner Insp-ABB - Plant Automation Pkg - Metering &amp; Blend Skid-expediting &amp; resolving QAP issues (2d); FCRI-Mass FM-cal.(3d);On client req.,exp of MF for vlvs ordered by Sharp Tanks(1d)</t>
        </is>
      </c>
      <c r="H25" s="62" t="n"/>
      <c r="I25" s="62" t="n"/>
      <c r="J25" s="110" t="inlineStr">
        <is>
          <t>Sanjeev Kumar/UK Mishra/NS Vasudev</t>
        </is>
      </c>
      <c r="K25" s="111" t="n"/>
      <c r="L25" s="111" t="n"/>
      <c r="M25" s="112" t="n"/>
      <c r="N25" s="3" t="n"/>
      <c r="O25" s="3" t="n"/>
      <c r="Q25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6" ht="83.5" customHeight="1" s="125">
      <c r="A26" s="3" t="inlineStr">
        <is>
          <t>B519</t>
        </is>
      </c>
      <c r="B26" s="3" t="n">
        <v>4</v>
      </c>
      <c r="C26" s="3">
        <f>2*B26+1*4</f>
        <v/>
      </c>
      <c r="D26" s="3">
        <f>8*1</f>
        <v/>
      </c>
      <c r="E26" s="9" t="n">
        <v>0</v>
      </c>
      <c r="F26" s="3">
        <f>SUM(C26:E26)</f>
        <v/>
      </c>
      <c r="G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</t>
        </is>
      </c>
      <c r="H26" s="62" t="n"/>
      <c r="I26" s="62" t="n"/>
      <c r="J26" s="110" t="inlineStr">
        <is>
          <t>G Suresh/HarshVardan/Prakash Jagarwal/DSNMurty</t>
        </is>
      </c>
      <c r="K26" s="111" t="n"/>
      <c r="L26" s="111" t="n"/>
      <c r="M26" s="112" t="n"/>
      <c r="N26" s="3" t="n"/>
      <c r="O26" s="3" t="n"/>
    </row>
    <row r="27" ht="83.5" customHeight="1" s="125">
      <c r="A27" s="10" t="inlineStr">
        <is>
          <t>B548</t>
        </is>
      </c>
      <c r="B27" s="3" t="n">
        <v>0</v>
      </c>
      <c r="C27" s="3" t="n">
        <v>0</v>
      </c>
      <c r="D27" s="3" t="n">
        <v>0</v>
      </c>
      <c r="E27" s="9" t="n">
        <v>0</v>
      </c>
      <c r="F27" s="3">
        <f>SUM(C27:E27)</f>
        <v/>
      </c>
      <c r="G27" s="62" t="inlineStr">
        <is>
          <t>Alleima- Exchanger - Exp+QAP comments - ITP R1- rev-6/2; Control Panel ITP rev- 7/2; FAT of TCP rev-12/2; Mtg/communications for resolution of issue w.r.t Heating Element MOC - 6,9/2; Nov: 1 OCS + Insp. - Emerson S/o on Microfinish - 27/11 &amp; 20/12</t>
        </is>
      </c>
      <c r="H27" s="62" t="n"/>
      <c r="I27" s="62" t="n"/>
      <c r="J27" s="110" t="inlineStr">
        <is>
          <t>Sanjeev Kr/T Ravi/NS Vasudev/Sanjeev Kr Gupta</t>
        </is>
      </c>
      <c r="K27" s="111" t="n"/>
      <c r="L27" s="111" t="n"/>
      <c r="M27" s="112" t="n"/>
      <c r="N27" s="3" t="n"/>
      <c r="O27" s="3" t="n"/>
      <c r="P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10" t="inlineStr">
        <is>
          <t>B559</t>
        </is>
      </c>
      <c r="B28" s="3" t="n">
        <v>6</v>
      </c>
      <c r="C28" s="3">
        <f>2*B28</f>
        <v/>
      </c>
      <c r="D28" s="3" t="n">
        <v>0</v>
      </c>
      <c r="E28" s="9" t="n">
        <v>0</v>
      </c>
      <c r="F28" s="3">
        <f>SUM(C28:E28)</f>
        <v/>
      </c>
      <c r="G28" s="62" t="inlineStr">
        <is>
          <t>IOCL Biturox,Vad-Proj. Prof. uploaded on 20/3- Desk Expediting - NO OCS; 5 orders expediting (incl. 1 OCS)</t>
        </is>
      </c>
      <c r="H28" s="62" t="n"/>
      <c r="I28" s="62" t="n"/>
      <c r="J28" s="110" t="inlineStr">
        <is>
          <t xml:space="preserve">Muthu/Sanjay Choudhary/SK Gayen/RK Gupta </t>
        </is>
      </c>
      <c r="K28" s="111" t="n"/>
      <c r="L28" s="111" t="n"/>
      <c r="M28" s="112" t="n"/>
      <c r="N28" s="3" t="n"/>
      <c r="O28" s="3" t="n"/>
      <c r="P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29" ht="83.5" customHeight="1" s="125">
      <c r="A29" s="3" t="inlineStr">
        <is>
          <t>B560</t>
        </is>
      </c>
      <c r="B29" s="3" t="n">
        <v>13</v>
      </c>
      <c r="C29" s="3">
        <f>2*B29</f>
        <v/>
      </c>
      <c r="D29" s="3" t="n"/>
      <c r="E29" s="9" t="n">
        <v>0</v>
      </c>
      <c r="F29" s="3">
        <f>SUM(C29:E29)</f>
        <v/>
      </c>
      <c r="G29" s="62" t="inlineStr">
        <is>
          <t xml:space="preserve">Req.from ED(I) for expediting on 15/6/24 - 13 orders (incl.1 OCS) &amp; OCS also to be made as per latest reqt.; </t>
        </is>
      </c>
      <c r="H29" s="62" t="n"/>
      <c r="I29" s="62" t="n"/>
      <c r="J29" s="110" t="inlineStr">
        <is>
          <t>Chandrashekhar/Vinod Kumar/RK Medhavi</t>
        </is>
      </c>
      <c r="K29" s="111" t="n"/>
      <c r="L29" s="111" t="n"/>
      <c r="M29" s="112" t="n"/>
      <c r="N29" s="3" t="n"/>
      <c r="O29" s="3" t="n"/>
      <c r="P29" t="inlineStr">
        <is>
          <t>100h rel on 23/4</t>
        </is>
      </c>
    </row>
    <row r="30" ht="44" customHeight="1" s="125">
      <c r="A30" s="10" t="inlineStr">
        <is>
          <t>B589</t>
        </is>
      </c>
      <c r="B30" s="3" t="n">
        <v>0</v>
      </c>
      <c r="C30" s="3" t="n">
        <v>0</v>
      </c>
      <c r="D30" s="3" t="n">
        <v>0</v>
      </c>
      <c r="E30" s="9" t="n">
        <v>0</v>
      </c>
      <c r="F30" s="3" t="n">
        <v>0</v>
      </c>
      <c r="G30" s="62" t="n"/>
      <c r="H30" s="62" t="n"/>
      <c r="I30" s="62" t="n"/>
      <c r="J30" s="110" t="inlineStr">
        <is>
          <t>Himangshu Pal/Sanjeev Kr/T Ravi/NS Vasudev/Sanjeev Kr Gupta</t>
        </is>
      </c>
      <c r="K30" s="111" t="n"/>
      <c r="L30" s="111" t="n"/>
      <c r="M30" s="112" t="n"/>
      <c r="N30" s="3" t="n"/>
      <c r="O30" s="3" t="n"/>
      <c r="P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10" t="inlineStr">
        <is>
          <t>B650</t>
        </is>
      </c>
      <c r="B31" s="3" t="n">
        <v>2</v>
      </c>
      <c r="C31" s="3">
        <f>B31*2</f>
        <v/>
      </c>
      <c r="D31" s="3" t="n"/>
      <c r="E31" s="9" t="n"/>
      <c r="F31" s="3">
        <f>SUM(C31:E31)</f>
        <v/>
      </c>
      <c r="G31" s="62" t="inlineStr">
        <is>
          <t>No scope for RPO - however, OCS to be done</t>
        </is>
      </c>
      <c r="H31" s="62" t="n"/>
      <c r="I31" s="62" t="n"/>
      <c r="J31" s="110" t="inlineStr">
        <is>
          <t>G Suresh/Sanjay Choudhary/Siddant Kumar</t>
        </is>
      </c>
      <c r="K31" s="111" t="n"/>
      <c r="L31" s="111" t="n"/>
      <c r="M31" s="112" t="n"/>
      <c r="N31" s="3" t="n"/>
      <c r="O31" s="3" t="n"/>
    </row>
    <row r="32" ht="83.5" customHeight="1" s="125">
      <c r="A32" s="10" t="inlineStr">
        <is>
          <t>B653</t>
        </is>
      </c>
      <c r="B32" s="3" t="n">
        <v>13</v>
      </c>
      <c r="C32" s="3">
        <f>2*B32+1*4</f>
        <v/>
      </c>
      <c r="D32" s="3" t="n"/>
      <c r="E32" s="9" t="n">
        <v>8</v>
      </c>
      <c r="F32" s="3">
        <f>SUM(C32:E32)</f>
        <v/>
      </c>
      <c r="G32" s="62" t="inlineStr">
        <is>
          <t>Expediting by RPOs as per email dtd 22/10/24, OCS by RPO as per CS mail dt 17/1; (13 running incl 3FD exp);Univ Insts -Term Comm.Rev. mtg &amp; reco. -8h; 40mh rel on 27/10[120]</t>
        </is>
      </c>
      <c r="H32" s="62" t="n"/>
      <c r="I32" s="62" t="n"/>
      <c r="J32" s="110" t="inlineStr">
        <is>
          <t>G Suresh/Sumanta Mondal/Aasheesh Handa/Amandeep Kaur</t>
        </is>
      </c>
      <c r="K32" s="111" t="n"/>
      <c r="L32" s="111" t="n"/>
      <c r="M32" s="112" t="n"/>
      <c r="N32" s="3" t="n"/>
      <c r="O32" s="3" t="n"/>
      <c r="P32" t="inlineStr">
        <is>
          <t>40h rel on 9/4/24 [40]</t>
        </is>
      </c>
    </row>
    <row r="33" ht="83.5" customHeight="1" s="125">
      <c r="A33" s="3" t="inlineStr">
        <is>
          <t>B725</t>
        </is>
      </c>
      <c r="B33" s="3" t="n">
        <v>4</v>
      </c>
      <c r="C33" s="3" t="n"/>
      <c r="D33" s="3" t="n">
        <v>0</v>
      </c>
      <c r="E33" s="9" t="n">
        <v>0</v>
      </c>
      <c r="F33" s="3">
        <f>SUM(C33:E33)</f>
        <v/>
      </c>
      <c r="G33" s="62" t="inlineStr">
        <is>
          <t xml:space="preserve">No expediting; </t>
        </is>
      </c>
      <c r="H33" s="62" t="n"/>
      <c r="I33" s="62" t="n"/>
      <c r="J33" s="110" t="inlineStr">
        <is>
          <t>Sanjeev Kumar- Scope: Rev. of ITP,Insp Docs &amp; FD</t>
        </is>
      </c>
      <c r="K33" s="111" t="n"/>
      <c r="L33" s="111" t="n"/>
      <c r="M33" s="112" t="n"/>
      <c r="N33" s="3" t="n"/>
      <c r="O33" s="3" t="n"/>
      <c r="P33" t="inlineStr">
        <is>
          <t>4h sought by BT on 27/5 to Sanjeev Kr</t>
        </is>
      </c>
    </row>
    <row r="34" ht="83.5" customHeight="1" s="125">
      <c r="A34" s="3" t="inlineStr">
        <is>
          <t>B767</t>
        </is>
      </c>
      <c r="B34" s="3" t="n"/>
      <c r="C34" s="3" t="n"/>
      <c r="D34" s="3" t="n">
        <v>0</v>
      </c>
      <c r="E34" s="9" t="n">
        <v>0</v>
      </c>
      <c r="F34" s="3" t="n">
        <v>16</v>
      </c>
      <c r="G34" s="62" t="inlineStr">
        <is>
          <t>Visit to OLA</t>
        </is>
      </c>
      <c r="H34" s="62" t="n"/>
      <c r="I34" s="62" t="n"/>
      <c r="J34" s="110" t="inlineStr">
        <is>
          <t>Saeed Akhtar/Vikalp Paliwal/Balakumar</t>
        </is>
      </c>
      <c r="K34" s="111" t="n"/>
      <c r="L34" s="111" t="n"/>
      <c r="M34" s="112" t="n"/>
      <c r="N34" s="3" t="n"/>
      <c r="O34" s="3" t="n"/>
      <c r="P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3" t="inlineStr">
        <is>
          <t>B795</t>
        </is>
      </c>
      <c r="B35" s="3" t="n">
        <v>2</v>
      </c>
      <c r="C35" s="3" t="n"/>
      <c r="D35" s="3" t="n">
        <v>0</v>
      </c>
      <c r="E35" s="9" t="n"/>
      <c r="F35" s="3">
        <f>SUM(C35:E35)</f>
        <v/>
      </c>
      <c r="G35" s="62" t="inlineStr">
        <is>
          <t xml:space="preserve">QAP appl. &amp; Insp. in EIL scope </t>
        </is>
      </c>
      <c r="H35" s="62" t="n"/>
      <c r="I35" s="62" t="n"/>
      <c r="J35" s="110" t="inlineStr">
        <is>
          <t>G Suresh/Saeed/Hemant Gadasia/Tarun Bansal/Dipak Panchal</t>
        </is>
      </c>
      <c r="K35" s="111" t="n"/>
      <c r="L35" s="111" t="n"/>
      <c r="M35" s="112" t="n"/>
      <c r="N35" s="3" t="n"/>
      <c r="O35" s="3" t="n"/>
      <c r="P35" t="inlineStr">
        <is>
          <t>32h rels. On 12/9;64h on 16/1; addl 100h rel on 20/1 [276]</t>
        </is>
      </c>
    </row>
    <row r="36" ht="83.5" customHeight="1" s="125">
      <c r="A36" s="3" t="inlineStr">
        <is>
          <t>B813</t>
        </is>
      </c>
      <c r="B36" s="3" t="n">
        <v>1</v>
      </c>
      <c r="C36" s="3">
        <f>2*B36</f>
        <v/>
      </c>
      <c r="D36" s="3" t="n"/>
      <c r="E36" s="9" t="n"/>
      <c r="F36" s="3">
        <f>SUM(C36:E36)</f>
        <v/>
      </c>
      <c r="G36" s="62" t="inlineStr">
        <is>
          <t>Expedite &amp; Inspect critical items (list provided in mail dt.29/5/25) EIL on man-day reimbursable basis - 1 order on KSBMIL-6h rel on 23/10[6]</t>
        </is>
      </c>
      <c r="H36" s="62" t="n"/>
      <c r="I36" s="62" t="n"/>
      <c r="J36" s="110" t="inlineStr">
        <is>
          <t>Sanjeev Kumar/Raviraj/Shivaji</t>
        </is>
      </c>
      <c r="K36" s="111" t="n"/>
      <c r="L36" s="111" t="n"/>
      <c r="M36" s="112" t="inlineStr">
        <is>
          <t>NRL-Aqueous Ammonia Unit</t>
        </is>
      </c>
      <c r="N36" s="3" t="n"/>
      <c r="O36" s="3" t="n"/>
    </row>
    <row r="37" ht="83.5" customHeight="1" s="125">
      <c r="A37" s="3" t="inlineStr">
        <is>
          <t>B861</t>
        </is>
      </c>
      <c r="B37" s="3" t="n">
        <v>1</v>
      </c>
      <c r="C37" s="3" t="n"/>
      <c r="D37" s="3">
        <f>8*2</f>
        <v/>
      </c>
      <c r="E37" s="9" t="n">
        <v>8</v>
      </c>
      <c r="F37" s="3">
        <f>SUM(C37:E37)</f>
        <v/>
      </c>
      <c r="G37" s="62" t="inlineStr">
        <is>
          <t>Enginemtes order - prelim mtg &amp; rev. of Quality reqts- Rev. of TDC/PAUT in pl. of RT- 9,10/8; Insp: 18,19/9(2d) - 42h rel on 14/10[42]</t>
        </is>
      </c>
      <c r="H37" s="62" t="n"/>
      <c r="I37" s="62" t="n"/>
      <c r="J37" s="110" t="inlineStr">
        <is>
          <t>G Suresh/Saeed Akhtar/Hemant Gadasia/Shashank Nayyar/D Jana</t>
        </is>
      </c>
      <c r="K37" s="111" t="n"/>
      <c r="L37" s="111" t="n"/>
      <c r="M37" s="112" t="n"/>
      <c r="N37" s="3" t="n"/>
      <c r="O37" s="3" t="n"/>
    </row>
    <row r="38" ht="83.5" customHeight="1" s="125">
      <c r="A38" s="3" t="inlineStr">
        <is>
          <t>B862</t>
        </is>
      </c>
      <c r="B38" s="3">
        <f>2+1+1</f>
        <v/>
      </c>
      <c r="C38" s="3">
        <f>B38*2</f>
        <v/>
      </c>
      <c r="D38" s="3" t="n"/>
      <c r="E38" s="9" t="n"/>
      <c r="F38" s="3">
        <f>SUM(C38:E38)</f>
        <v/>
      </c>
      <c r="G38" s="62" t="inlineStr">
        <is>
          <t>manhour for Level- 13 (Group-2), Level -15 &amp; 16 (Group-4) and Level-18 (Group-5) have far exceeded ceiling prescribed in the contract - &gt;Lvl 17-mh limited to 16%</t>
        </is>
      </c>
      <c r="H38" s="62" t="n"/>
      <c r="I38" s="62" t="n"/>
      <c r="J38" s="110" t="inlineStr">
        <is>
          <t>Sanjeev Kumar/Rajeev Khandelwal IOM 10/7/24 from Mr Rajeev Khandelwal on level wise breakup of MH to be booked - to be followed while seeking MH.</t>
        </is>
      </c>
      <c r="K38" s="111" t="n"/>
      <c r="L38" s="111" t="n"/>
      <c r="M38" s="112" t="inlineStr">
        <is>
          <t>PLL</t>
        </is>
      </c>
      <c r="N38" s="3" t="n"/>
      <c r="O38" s="3" t="n"/>
      <c r="P38" t="inlineStr">
        <is>
          <t>200h rel in May'25</t>
        </is>
      </c>
    </row>
    <row r="39" ht="83.5" customHeight="1" s="125">
      <c r="A39" s="3" t="inlineStr">
        <is>
          <t>B865</t>
        </is>
      </c>
      <c r="B39" s="3" t="n">
        <v>1</v>
      </c>
      <c r="C39" s="3" t="n"/>
      <c r="D39" s="3" t="n"/>
      <c r="E39" s="9" t="n"/>
      <c r="F39" s="3" t="n"/>
      <c r="G39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H39" s="62" t="n"/>
      <c r="I39" s="62" t="n"/>
      <c r="J39" s="110" t="inlineStr">
        <is>
          <t>Muthu/</t>
        </is>
      </c>
      <c r="K39" s="111" t="n"/>
      <c r="L39" s="111" t="n"/>
      <c r="M39" s="112" t="inlineStr">
        <is>
          <t>HPCL Petchem Mktg Terminal</t>
        </is>
      </c>
      <c r="N39" s="3" t="n"/>
      <c r="O39" s="3" t="n"/>
    </row>
    <row r="40" ht="83.5" customHeight="1" s="125">
      <c r="A40" s="3" t="inlineStr">
        <is>
          <t>B903</t>
        </is>
      </c>
      <c r="B40" s="3" t="n">
        <v>3</v>
      </c>
      <c r="C40" s="3">
        <f>2*B40</f>
        <v/>
      </c>
      <c r="D40" s="3" t="n"/>
      <c r="E40" s="9" t="n"/>
      <c r="F40" s="3">
        <f>SUM(C40:E40)</f>
        <v/>
      </c>
      <c r="G40" s="62" t="inlineStr">
        <is>
          <t>Vlv size issues - exp. HO-7/8</t>
        </is>
      </c>
      <c r="H40" s="62" t="n"/>
      <c r="I40" s="62" t="n"/>
      <c r="J40" s="110" t="inlineStr">
        <is>
          <t>Sanjeev Kumar/Shnaoli</t>
        </is>
      </c>
      <c r="K40" s="111" t="n"/>
      <c r="L40" s="111" t="n"/>
      <c r="M40" s="112" t="n"/>
      <c r="N40" s="3" t="n"/>
      <c r="O40" s="3" t="n"/>
    </row>
    <row r="41" ht="83.5" customHeight="1" s="125">
      <c r="A41" s="3" t="inlineStr">
        <is>
          <t>B904</t>
        </is>
      </c>
      <c r="B41" s="3" t="n">
        <v>1</v>
      </c>
      <c r="C41" s="3">
        <f>2*1</f>
        <v/>
      </c>
      <c r="D41" s="3" t="n"/>
      <c r="E41" s="9" t="n"/>
      <c r="F41" s="3">
        <f>SUM(C41:E41)</f>
        <v/>
      </c>
      <c r="G41" s="62" t="n"/>
      <c r="H41" s="62" t="n"/>
      <c r="I41" s="62" t="n"/>
      <c r="J41" s="110" t="inlineStr">
        <is>
          <t>Sanjeev Kumar/Shnaoli</t>
        </is>
      </c>
      <c r="K41" s="111" t="n"/>
      <c r="L41" s="111" t="n"/>
      <c r="M41" s="112" t="n"/>
      <c r="N41" s="3" t="n"/>
      <c r="O41" s="3" t="inlineStr">
        <is>
          <t>Proj. prof. n.avl.</t>
        </is>
      </c>
    </row>
    <row r="42" ht="83.5" customHeight="1" s="125">
      <c r="A42" s="3" t="inlineStr">
        <is>
          <t>B933</t>
        </is>
      </c>
      <c r="B42" s="3">
        <f>1+1+1</f>
        <v/>
      </c>
      <c r="C42" s="3">
        <f>2*B42</f>
        <v/>
      </c>
      <c r="D42" s="3" t="n"/>
      <c r="E42" s="9" t="n"/>
      <c r="F42" s="3">
        <f>SUM(C42:E42)</f>
        <v/>
      </c>
      <c r="G42" s="62" t="inlineStr">
        <is>
          <t>12h rel on 27/10[20]</t>
        </is>
      </c>
      <c r="H42" s="62" t="n"/>
      <c r="I42" s="62" t="n"/>
      <c r="J42" s="110" t="inlineStr">
        <is>
          <t>G Suresh/Binoy Debnath</t>
        </is>
      </c>
      <c r="K42" s="111" t="n"/>
      <c r="L42" s="111" t="n"/>
      <c r="M42" s="112" t="n"/>
      <c r="N42" s="3" t="n"/>
      <c r="O42" s="3" t="n"/>
    </row>
    <row r="43" ht="83.5" customHeight="1" s="125">
      <c r="A43" s="3" t="inlineStr">
        <is>
          <t>C007</t>
        </is>
      </c>
      <c r="B43" s="3" t="n">
        <v>0</v>
      </c>
      <c r="C43" s="3" t="n"/>
      <c r="D43" s="3">
        <f>8*B43</f>
        <v/>
      </c>
      <c r="E43" s="9" t="n"/>
      <c r="F43" s="3">
        <f>SUM(C43:E43)</f>
        <v/>
      </c>
      <c r="G43" s="62" t="inlineStr">
        <is>
          <t xml:space="preserve"> </t>
        </is>
      </c>
      <c r="H43" s="62" t="n"/>
      <c r="I43" s="62" t="n"/>
      <c r="J43" s="110" t="inlineStr">
        <is>
          <t>Saeed/Hemant Gadasia</t>
        </is>
      </c>
      <c r="K43" s="111" t="n"/>
      <c r="L43" s="111" t="n"/>
      <c r="M43" s="112" t="n"/>
      <c r="N43" s="3" t="n"/>
      <c r="O43" s="3" t="n"/>
    </row>
    <row r="44" ht="46" customHeight="1" s="125">
      <c r="A44" s="3" t="inlineStr">
        <is>
          <t>Leave</t>
        </is>
      </c>
      <c r="B44" s="3" t="n">
        <v>6</v>
      </c>
      <c r="C44" s="3" t="n"/>
      <c r="D44" s="3" t="n"/>
      <c r="E44" s="9" t="inlineStr">
        <is>
          <t xml:space="preserve"> </t>
        </is>
      </c>
      <c r="F44" s="3">
        <f>8*B44</f>
        <v/>
      </c>
      <c r="G44" s="62" t="inlineStr">
        <is>
          <t>VR:3,4; AG:;SV-1-4/9;US:  ;BT-;NV-</t>
        </is>
      </c>
      <c r="H44" s="62" t="n"/>
      <c r="I44" s="62" t="n"/>
      <c r="J44" s="110" t="inlineStr">
        <is>
          <t xml:space="preserve"> </t>
        </is>
      </c>
      <c r="K44" s="111" t="n"/>
      <c r="L44" s="111" t="n"/>
      <c r="M44" s="112" t="n"/>
      <c r="N44" s="3" t="n"/>
      <c r="O44" s="3">
        <f>F44-N44</f>
        <v/>
      </c>
      <c r="P44" t="n">
        <v>68</v>
      </c>
    </row>
    <row r="45" ht="45.5" customHeight="1" s="125">
      <c r="A45" s="3" t="inlineStr">
        <is>
          <t>Total</t>
        </is>
      </c>
      <c r="B45" s="3">
        <f>SUM(B10:B44)</f>
        <v/>
      </c>
      <c r="C45" s="3" t="n"/>
      <c r="D45" s="3" t="n"/>
      <c r="E45" s="9" t="n"/>
      <c r="F45" s="3">
        <f>SUM(F4:F44)</f>
        <v/>
      </c>
      <c r="G45" s="56" t="n"/>
      <c r="H45" s="56" t="n"/>
      <c r="I45" s="56" t="n"/>
      <c r="J45" s="110" t="n"/>
      <c r="K45" s="111" t="n"/>
      <c r="L45" s="111" t="n"/>
      <c r="M45" s="112" t="n"/>
      <c r="N45" s="3" t="n"/>
      <c r="O45" s="3">
        <f>F45-N45</f>
        <v/>
      </c>
      <c r="P45">
        <f>SUM(P10:P44)</f>
        <v/>
      </c>
      <c r="Q45">
        <f>672-P45</f>
        <v/>
      </c>
    </row>
    <row r="46" ht="83.5" customHeight="1" s="125">
      <c r="A46" s="3" t="n"/>
      <c r="B46" s="3" t="n"/>
      <c r="C46" s="3" t="n"/>
      <c r="D46" s="3" t="n"/>
      <c r="E46" s="9" t="n"/>
      <c r="F46" s="3" t="inlineStr">
        <is>
          <t xml:space="preserve"> </t>
        </is>
      </c>
      <c r="G46" s="56" t="n"/>
      <c r="H46" s="56" t="n"/>
      <c r="I46" s="56">
        <f>52*5*3- 36</f>
        <v/>
      </c>
      <c r="J46" s="110" t="n"/>
      <c r="K46" s="111" t="n"/>
      <c r="L46" s="111" t="n"/>
      <c r="M46" s="112" t="n"/>
      <c r="N46" s="3" t="n"/>
      <c r="O46" s="3" t="n"/>
    </row>
    <row r="47" ht="83.5" customHeight="1" s="125">
      <c r="A47" s="3" t="inlineStr">
        <is>
          <t>Notes:</t>
        </is>
      </c>
      <c r="B47" s="3" t="n"/>
      <c r="C47" s="3" t="n"/>
      <c r="D47" s="3" t="n"/>
      <c r="E47" s="9" t="n"/>
      <c r="F47" s="3" t="n"/>
      <c r="G47" s="56" t="n"/>
      <c r="H47" s="56" t="n"/>
      <c r="I47" s="56" t="n"/>
      <c r="J47" s="110" t="n"/>
      <c r="K47" s="111" t="inlineStr">
        <is>
          <t xml:space="preserve"> </t>
        </is>
      </c>
      <c r="L47" s="111" t="n"/>
      <c r="M47" s="112" t="n"/>
      <c r="N47" s="3" t="n"/>
      <c r="O47" s="3" t="n"/>
    </row>
    <row r="48" ht="83.5" customHeight="1" s="125">
      <c r="A48" s="3" t="inlineStr">
        <is>
          <t>1. If there are any other job nos., pl. include the same.</t>
        </is>
      </c>
      <c r="B48" s="3" t="n"/>
      <c r="C48" s="3" t="n"/>
      <c r="D48" s="3" t="n"/>
      <c r="E48" s="9" t="n"/>
      <c r="F48" s="3" t="n"/>
      <c r="G48" s="9" t="inlineStr">
        <is>
          <t xml:space="preserve"> </t>
        </is>
      </c>
      <c r="H48" s="111" t="n"/>
      <c r="I48" s="112" t="n"/>
      <c r="J48" s="6" t="inlineStr">
        <is>
          <t xml:space="preserve"> </t>
        </is>
      </c>
      <c r="K48" s="7" t="inlineStr">
        <is>
          <t xml:space="preserve"> </t>
        </is>
      </c>
      <c r="L48" s="7" t="n"/>
      <c r="M48" s="8" t="n"/>
      <c r="N48" s="3" t="n"/>
      <c r="O48" s="3" t="n"/>
    </row>
    <row r="49">
      <c r="A49" s="24" t="inlineStr">
        <is>
          <t xml:space="preserve">Guidelines : </t>
        </is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6" t="inlineStr">
        <is>
          <t>1. Inspection Visit including review and endorsement of final documents: At  actual</t>
        </is>
      </c>
      <c r="B50" s="26" t="n"/>
    </row>
    <row r="51">
      <c r="A51" s="26" t="inlineStr">
        <is>
          <t xml:space="preserve">2. Expediting and preparation of expediting report: Average 2 hours /month /order ( No separate man hours for coordination ) </t>
        </is>
      </c>
      <c r="Q51" t="inlineStr">
        <is>
          <t xml:space="preserve"> </t>
        </is>
      </c>
    </row>
    <row r="52">
      <c r="A52" s="26" t="inlineStr">
        <is>
          <t xml:space="preserve">3. Expediting visit/ Attending meeting with project/.Client: At  actual </t>
        </is>
      </c>
    </row>
    <row r="53">
      <c r="A53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4">
      <c r="A54" s="26" t="inlineStr">
        <is>
          <t xml:space="preserve">5. Review of ITP for Equipment (Mechanical and Electrical/DCS etc): Average 2 hours/order </t>
        </is>
      </c>
      <c r="M54" t="inlineStr">
        <is>
          <t xml:space="preserve"> </t>
        </is>
      </c>
    </row>
    <row r="55">
      <c r="A55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6">
      <c r="A56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7">
      <c r="A57" s="26" t="inlineStr">
        <is>
          <t xml:space="preserve">8. Order Closing report: Average 2 hours/Order  </t>
        </is>
      </c>
    </row>
    <row r="58">
      <c r="A58" s="27" t="n"/>
    </row>
    <row r="59">
      <c r="J59" t="inlineStr">
        <is>
          <t xml:space="preserve"> </t>
        </is>
      </c>
    </row>
  </sheetData>
  <mergeCells count="7">
    <mergeCell ref="G10:I10"/>
    <mergeCell ref="A2:I2"/>
    <mergeCell ref="A1:I1"/>
    <mergeCell ref="G48:I48"/>
    <mergeCell ref="G3:I3"/>
    <mergeCell ref="J2:M2"/>
    <mergeCell ref="G11:I11"/>
  </mergeCells>
  <pageMargins left="0.7" right="0.7" top="0.75" bottom="0.75" header="0.3" footer="0.3"/>
  <pageSetup orientation="landscape" paperSize="9"/>
</worksheet>
</file>

<file path=xl/worksheets/sheet13.xml><?xml version="1.0" encoding="utf-8"?>
<worksheet xmlns="http://schemas.openxmlformats.org/spreadsheetml/2006/main">
  <sheetPr filterMode="1">
    <outlinePr summaryBelow="1" summaryRight="1"/>
    <pageSetUpPr fitToPage="1"/>
  </sheetPr>
  <dimension ref="A1:Y56"/>
  <sheetViews>
    <sheetView workbookViewId="0">
      <selection activeCell="A3" sqref="A3:L3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45901</v>
      </c>
      <c r="M1" s="122" t="inlineStr">
        <is>
          <t xml:space="preserve">Total MH reqd: </t>
        </is>
      </c>
      <c r="O1" s="122">
        <f>ConsolidatedMHrequirementSep25!A2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19/09/25</t>
        </is>
      </c>
      <c r="L3" s="33" t="inlineStr">
        <is>
          <t>Shortfall</t>
        </is>
      </c>
    </row>
    <row r="4" hidden="1" ht="15" customHeight="1" s="125">
      <c r="A4" s="71" t="n">
        <v>4994</v>
      </c>
      <c r="B4" s="3">
        <f>ConsolidatedMHrequirementSep25!B4</f>
        <v/>
      </c>
      <c r="C4" s="3" t="n"/>
      <c r="D4" s="3" t="n"/>
      <c r="E4" s="3" t="n"/>
      <c r="F4" s="66" t="n"/>
      <c r="G4" s="3">
        <f>ConsolidatedMHrequirementSep25!D4</f>
        <v/>
      </c>
      <c r="H4" s="3">
        <f>ConsolidatedMHrequirementSep25!C4</f>
        <v/>
      </c>
      <c r="I4" s="3">
        <f>ConsolidatedMHrequirementSep25!E4</f>
        <v/>
      </c>
      <c r="J4" s="41">
        <f>VLOOKUP(A4,ConsolidatedMHrequirementSep25!$A$4:$I$44,6,FALSE)</f>
        <v/>
      </c>
      <c r="K4" s="3" t="n">
        <v>0</v>
      </c>
      <c r="L4" s="3">
        <f>J4-K4</f>
        <v/>
      </c>
      <c r="M4" s="69">
        <f>ConsolidatedMHrequirementSep25!G4</f>
        <v/>
      </c>
    </row>
    <row r="5" hidden="1" s="125">
      <c r="A5" s="71" t="n">
        <v>6979</v>
      </c>
      <c r="B5" s="3">
        <f>ConsolidatedMHrequirementSep25!B5</f>
        <v/>
      </c>
      <c r="C5" s="3" t="n"/>
      <c r="D5" s="3" t="n"/>
      <c r="E5" s="3" t="n"/>
      <c r="F5" s="3" t="n"/>
      <c r="G5" s="3">
        <f>ConsolidatedMHrequirementSep25!D5</f>
        <v/>
      </c>
      <c r="H5" s="3">
        <f>ConsolidatedMHrequirementSep25!C5</f>
        <v/>
      </c>
      <c r="I5" s="3">
        <f>ConsolidatedMHrequirementSep25!E5</f>
        <v/>
      </c>
      <c r="J5" s="41">
        <f>VLOOKUP(A5,ConsolidatedMHrequirementSep25!$A$4:$I$44,6,FALSE)</f>
        <v/>
      </c>
      <c r="K5" s="3" t="n"/>
      <c r="L5" s="3">
        <f>J5-K5</f>
        <v/>
      </c>
      <c r="M5" s="69">
        <f>ConsolidatedMHrequirementSep25!G5</f>
        <v/>
      </c>
      <c r="N5" s="69" t="n"/>
      <c r="O5" s="69" t="n"/>
      <c r="P5" s="69" t="n"/>
      <c r="Q5" s="69" t="n"/>
      <c r="R5" s="69" t="n"/>
      <c r="S5" s="69" t="n"/>
      <c r="T5" s="69" t="n"/>
    </row>
    <row r="6" hidden="1" ht="14.5" customFormat="1" customHeight="1" s="34">
      <c r="A6" s="71" t="n">
        <v>7716</v>
      </c>
      <c r="B6" s="3">
        <f>ConsolidatedMHrequirementSep25!B6</f>
        <v/>
      </c>
      <c r="C6" s="3" t="n"/>
      <c r="D6" s="3" t="n"/>
      <c r="E6" s="3" t="n"/>
      <c r="F6" s="66" t="n"/>
      <c r="G6" s="3">
        <f>ConsolidatedMHrequirementSep25!D6</f>
        <v/>
      </c>
      <c r="H6" s="3">
        <f>ConsolidatedMHrequirementSep25!C6</f>
        <v/>
      </c>
      <c r="I6" s="3">
        <f>ConsolidatedMHrequirementSep25!E6</f>
        <v/>
      </c>
      <c r="J6" s="41">
        <f>VLOOKUP(A6,ConsolidatedMHrequirementSep25!$A$4:$I$44,6,FALSE)</f>
        <v/>
      </c>
      <c r="K6" s="44" t="n"/>
      <c r="L6" s="3">
        <f>J6-K6</f>
        <v/>
      </c>
      <c r="M6" s="69">
        <f>ConsolidatedMHrequirementSep25!G6</f>
        <v/>
      </c>
      <c r="N6" s="69" t="n"/>
      <c r="O6" s="69" t="n"/>
      <c r="P6" s="69" t="n"/>
      <c r="Q6" s="69" t="n"/>
      <c r="R6" s="69" t="n"/>
      <c r="S6" s="69" t="n"/>
      <c r="T6" s="69" t="n"/>
    </row>
    <row r="7" hidden="1" ht="14.5" customFormat="1" customHeight="1" s="34">
      <c r="A7" s="71" t="n">
        <v>8518</v>
      </c>
      <c r="B7" s="3">
        <f>ConsolidatedMHrequirementSep25!B7</f>
        <v/>
      </c>
      <c r="C7" s="3" t="n"/>
      <c r="D7" s="3" t="n"/>
      <c r="E7" s="3" t="n"/>
      <c r="F7" s="66" t="n"/>
      <c r="G7" s="3">
        <f>ConsolidatedMHrequirementSep25!D7</f>
        <v/>
      </c>
      <c r="H7" s="3">
        <f>ConsolidatedMHrequirementSep25!C7</f>
        <v/>
      </c>
      <c r="I7" s="3">
        <f>ConsolidatedMHrequirementSep25!E7</f>
        <v/>
      </c>
      <c r="J7" s="41">
        <f>VLOOKUP(A7,ConsolidatedMHrequirementSep25!$A$4:$I$44,6,FALSE)</f>
        <v/>
      </c>
      <c r="K7" s="44" t="n"/>
      <c r="L7" s="3">
        <f>J7-K7</f>
        <v/>
      </c>
      <c r="M7" s="69">
        <f>ConsolidatedMHrequirementSep25!G7</f>
        <v/>
      </c>
      <c r="N7" s="69" t="n"/>
      <c r="O7" s="69" t="n"/>
      <c r="P7" s="69" t="n"/>
      <c r="Q7" s="69" t="n"/>
      <c r="R7" s="69" t="n"/>
      <c r="S7" s="69" t="n"/>
      <c r="T7" s="69" t="n"/>
    </row>
    <row r="8" hidden="1" ht="14.5" customFormat="1" customHeight="1" s="34">
      <c r="A8" s="71" t="n">
        <v>8590</v>
      </c>
      <c r="B8" s="3">
        <f>ConsolidatedMHrequirementSep25!B8</f>
        <v/>
      </c>
      <c r="C8" s="3" t="n"/>
      <c r="D8" s="3" t="n"/>
      <c r="E8" s="3" t="n"/>
      <c r="F8" s="66" t="n"/>
      <c r="G8" s="3">
        <f>ConsolidatedMHrequirementSep25!D8</f>
        <v/>
      </c>
      <c r="H8" s="3">
        <f>ConsolidatedMHrequirementSep25!C8</f>
        <v/>
      </c>
      <c r="I8" s="3">
        <f>ConsolidatedMHrequirementSep25!E8</f>
        <v/>
      </c>
      <c r="J8" s="41">
        <f>VLOOKUP(A8,ConsolidatedMHrequirementSep25!$A$4:$I$44,6,FALSE)</f>
        <v/>
      </c>
      <c r="K8" s="44" t="n"/>
      <c r="L8" s="3">
        <f>J8-K8</f>
        <v/>
      </c>
      <c r="M8" s="69">
        <f>ConsolidatedMHrequirementSep25!G8</f>
        <v/>
      </c>
      <c r="N8" s="69" t="n"/>
      <c r="O8" s="69" t="n"/>
      <c r="P8" s="69" t="n"/>
      <c r="Q8" s="69" t="n"/>
      <c r="R8" s="69" t="n"/>
      <c r="S8" s="69" t="n"/>
      <c r="T8" s="69" t="n"/>
    </row>
    <row r="9" hidden="1" customFormat="1" s="34">
      <c r="A9" s="10" t="inlineStr">
        <is>
          <t>B016</t>
        </is>
      </c>
      <c r="B9" s="3">
        <f>ConsolidatedMHrequirementSep25!B9</f>
        <v/>
      </c>
      <c r="C9" s="41" t="n"/>
      <c r="D9" s="41" t="n"/>
      <c r="E9" s="41" t="n"/>
      <c r="F9" s="54" t="n"/>
      <c r="G9" s="3">
        <f>ConsolidatedMHrequirementSep25!D9</f>
        <v/>
      </c>
      <c r="H9" s="3">
        <f>ConsolidatedMHrequirementSep25!C9</f>
        <v/>
      </c>
      <c r="I9" s="3">
        <f>ConsolidatedMHrequirementSep25!E9</f>
        <v/>
      </c>
      <c r="J9" s="41">
        <f>VLOOKUP(A9,ConsolidatedMHrequirementSep25!$A$4:$I$44,6,FALSE)</f>
        <v/>
      </c>
      <c r="K9" s="44" t="n"/>
      <c r="L9" s="3">
        <f>J9-K9</f>
        <v/>
      </c>
      <c r="M9" s="84">
        <f>ConsolidatedMHrequirementSep25!G9</f>
        <v/>
      </c>
      <c r="N9" s="69" t="n"/>
      <c r="O9" s="69" t="n"/>
      <c r="P9" s="69" t="n"/>
      <c r="Q9" s="69" t="n"/>
      <c r="R9" s="69" t="n"/>
      <c r="S9" s="69" t="n"/>
      <c r="T9" s="69" t="n"/>
    </row>
    <row r="10" hidden="1" ht="15" customFormat="1" customHeight="1" s="34">
      <c r="A10" s="10" t="inlineStr">
        <is>
          <t>B035</t>
        </is>
      </c>
      <c r="B10" s="3">
        <f>ConsolidatedMHrequirementSep25!B10</f>
        <v/>
      </c>
      <c r="C10" s="41" t="n"/>
      <c r="D10" s="41" t="n"/>
      <c r="E10" s="41" t="n"/>
      <c r="F10" s="54" t="n"/>
      <c r="G10" s="3">
        <f>ConsolidatedMHrequirementSep25!D10</f>
        <v/>
      </c>
      <c r="H10" s="3">
        <f>ConsolidatedMHrequirementSep25!C10</f>
        <v/>
      </c>
      <c r="I10" s="3">
        <f>ConsolidatedMHrequirementSep25!E10</f>
        <v/>
      </c>
      <c r="J10" s="41">
        <f>VLOOKUP(A10,ConsolidatedMHrequirementSep25!$A$4:$I$44,6,FALSE)</f>
        <v/>
      </c>
      <c r="K10" s="41" t="n"/>
      <c r="L10" s="3">
        <f>J10-K10</f>
        <v/>
      </c>
      <c r="M10" s="84">
        <f>ConsolidatedMHrequirementSep25!G10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idden="1" ht="16.5" customFormat="1" customHeight="1" s="34">
      <c r="A11" s="10" t="inlineStr">
        <is>
          <t>B038</t>
        </is>
      </c>
      <c r="B11" s="3">
        <f>ConsolidatedMHrequirementSep25!B11</f>
        <v/>
      </c>
      <c r="C11" s="41" t="n"/>
      <c r="D11" s="41" t="n"/>
      <c r="E11" s="41" t="n"/>
      <c r="F11" s="41" t="inlineStr">
        <is>
          <t xml:space="preserve"> </t>
        </is>
      </c>
      <c r="G11" s="3">
        <f>ConsolidatedMHrequirementSep25!D11</f>
        <v/>
      </c>
      <c r="H11" s="3">
        <f>ConsolidatedMHrequirementSep25!C11</f>
        <v/>
      </c>
      <c r="I11" s="3">
        <f>ConsolidatedMHrequirementSep25!E11</f>
        <v/>
      </c>
      <c r="J11" s="41">
        <f>VLOOKUP(A11,ConsolidatedMHrequirementSep25!$A$4:$I$44,6,FALSE)</f>
        <v/>
      </c>
      <c r="K11" s="41" t="n"/>
      <c r="L11" s="3">
        <f>J11-K11</f>
        <v/>
      </c>
      <c r="M11" s="69" t="inlineStr">
        <is>
          <t>1order OCS</t>
        </is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hidden="1" customFormat="1" s="34">
      <c r="A12" s="10" t="inlineStr">
        <is>
          <t>B058</t>
        </is>
      </c>
      <c r="B12" s="3">
        <f>ConsolidatedMHrequirementSep25!B12</f>
        <v/>
      </c>
      <c r="C12" s="41" t="n"/>
      <c r="D12" s="41" t="n"/>
      <c r="E12" s="41" t="n"/>
      <c r="F12" s="54" t="n"/>
      <c r="G12" s="3">
        <f>ConsolidatedMHrequirementSep25!D12</f>
        <v/>
      </c>
      <c r="H12" s="3">
        <f>ConsolidatedMHrequirementSep25!C12</f>
        <v/>
      </c>
      <c r="I12" s="3">
        <f>ConsolidatedMHrequirementSep25!E12</f>
        <v/>
      </c>
      <c r="J12" s="41">
        <f>VLOOKUP(A12,ConsolidatedMHrequirementSep25!$A$4:$I$44,6,FALSE)</f>
        <v/>
      </c>
      <c r="K12" s="41" t="n"/>
      <c r="L12" s="3">
        <f>J12-K12</f>
        <v/>
      </c>
      <c r="M12" s="69">
        <f>ConsolidatedMHrequirementSep25!G12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ConsolidatedMHrequirementSep25!B13</f>
        <v/>
      </c>
      <c r="C13" s="3" t="n"/>
      <c r="D13" s="3" t="n"/>
      <c r="E13" s="3" t="n"/>
      <c r="F13" s="66" t="n"/>
      <c r="G13" s="3">
        <f>ConsolidatedMHrequirementSep25!D13</f>
        <v/>
      </c>
      <c r="H13" s="3">
        <f>ConsolidatedMHrequirementSep25!C13</f>
        <v/>
      </c>
      <c r="I13" s="3">
        <f>ConsolidatedMHrequirementSep25!E13</f>
        <v/>
      </c>
      <c r="J13" s="41">
        <f>VLOOKUP(A13,ConsolidatedMHrequirementSep25!$A$4:$I$44,6,FALSE)</f>
        <v/>
      </c>
      <c r="K13" s="44" t="n">
        <v>418</v>
      </c>
      <c r="L13" s="3">
        <f>J13-K13</f>
        <v/>
      </c>
      <c r="M13" s="69">
        <f>ConsolidatedMHrequirementSep25!G13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hidden="1" customFormat="1" s="34">
      <c r="A14" s="10" t="inlineStr">
        <is>
          <t>B229</t>
        </is>
      </c>
      <c r="B14" s="3">
        <f>ConsolidatedMHrequirementSep25!B14</f>
        <v/>
      </c>
      <c r="C14" s="41" t="n"/>
      <c r="D14" s="41" t="n"/>
      <c r="E14" s="41" t="n"/>
      <c r="F14" s="54" t="n"/>
      <c r="G14" s="3">
        <f>ConsolidatedMHrequirementSep25!D14</f>
        <v/>
      </c>
      <c r="H14" s="3">
        <f>ConsolidatedMHrequirementSep25!C14</f>
        <v/>
      </c>
      <c r="I14" s="3">
        <f>ConsolidatedMHrequirementSep25!E14</f>
        <v/>
      </c>
      <c r="J14" s="41">
        <f>VLOOKUP(A14,ConsolidatedMHrequirementSep25!$A$4:$I$44,6,FALSE)</f>
        <v/>
      </c>
      <c r="K14" s="41" t="n"/>
      <c r="L14" s="3">
        <f>J14-K14</f>
        <v/>
      </c>
      <c r="M14" s="69">
        <f>ConsolidatedMHrequirementSep25!G14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ConsolidatedMHrequirementSep25!B15</f>
        <v/>
      </c>
      <c r="C15" s="3" t="n"/>
      <c r="D15" s="3" t="n"/>
      <c r="E15" s="3" t="n"/>
      <c r="F15" s="66" t="n"/>
      <c r="G15" s="3">
        <f>ConsolidatedMHrequirementSep25!D15</f>
        <v/>
      </c>
      <c r="H15" s="3">
        <f>ConsolidatedMHrequirementSep25!C15</f>
        <v/>
      </c>
      <c r="I15" s="3">
        <f>ConsolidatedMHrequirementSep25!E15</f>
        <v/>
      </c>
      <c r="J15" s="41">
        <f>VLOOKUP(A15,ConsolidatedMHrequirementSep25!$A$4:$I$44,6,FALSE)</f>
        <v/>
      </c>
      <c r="K15" s="41" t="n">
        <v>0</v>
      </c>
      <c r="L15" s="3">
        <f>J15-K15</f>
        <v/>
      </c>
      <c r="M15" s="69">
        <f>ConsolidatedMHrequirementSep25!G15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hidden="1" customFormat="1" s="34">
      <c r="A16" s="10" t="inlineStr">
        <is>
          <t>B285</t>
        </is>
      </c>
      <c r="B16" s="3">
        <f>ConsolidatedMHrequirementSep25!B16</f>
        <v/>
      </c>
      <c r="C16" s="41" t="n"/>
      <c r="D16" s="41" t="n"/>
      <c r="E16" s="41" t="n"/>
      <c r="F16" s="44" t="n"/>
      <c r="G16" s="3">
        <f>ConsolidatedMHrequirementSep25!D16</f>
        <v/>
      </c>
      <c r="H16" s="3">
        <f>ConsolidatedMHrequirementSep25!C16</f>
        <v/>
      </c>
      <c r="I16" s="3">
        <f>ConsolidatedMHrequirementSep25!E16</f>
        <v/>
      </c>
      <c r="J16" s="41">
        <f>VLOOKUP(A16,ConsolidatedMHrequirementSep25!$A$4:$I$44,6,FALSE)</f>
        <v/>
      </c>
      <c r="K16" s="41" t="n"/>
      <c r="L16" s="3">
        <f>J16-K16</f>
        <v/>
      </c>
      <c r="M16" s="69">
        <f>ConsolidatedMHrequirementSep25!G16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ConsolidatedMHrequirementSep25!B17</f>
        <v/>
      </c>
      <c r="C17" s="41" t="n"/>
      <c r="D17" s="41" t="n"/>
      <c r="E17" s="41" t="n"/>
      <c r="F17" s="54" t="n"/>
      <c r="G17" s="3">
        <f>ConsolidatedMHrequirementSep25!D17</f>
        <v/>
      </c>
      <c r="H17" s="3">
        <f>ConsolidatedMHrequirementSep25!C17</f>
        <v/>
      </c>
      <c r="I17" s="3">
        <f>ConsolidatedMHrequirementSep25!E17</f>
        <v/>
      </c>
      <c r="J17" s="41">
        <f>VLOOKUP(A17,ConsolidatedMHrequirementSep25!$A$4:$I$44,6,FALSE)</f>
        <v/>
      </c>
      <c r="K17" s="41" t="n"/>
      <c r="L17" s="3">
        <f>J17-K17</f>
        <v/>
      </c>
      <c r="M17" s="69">
        <f>ConsolidatedMHrequirementSep25!G17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ConsolidatedMHrequirementSep25!B18</f>
        <v/>
      </c>
      <c r="C18" s="41" t="n"/>
      <c r="D18" s="41" t="n"/>
      <c r="E18" s="41" t="n"/>
      <c r="F18" s="54" t="n"/>
      <c r="G18" s="3">
        <f>ConsolidatedMHrequirementSep25!D18</f>
        <v/>
      </c>
      <c r="H18" s="3">
        <f>ConsolidatedMHrequirementSep25!C18</f>
        <v/>
      </c>
      <c r="I18" s="3">
        <f>ConsolidatedMHrequirementSep25!E18</f>
        <v/>
      </c>
      <c r="J18" s="41">
        <f>VLOOKUP(A18,ConsolidatedMHrequirementSep25!$A$4:$I$44,6,FALSE)</f>
        <v/>
      </c>
      <c r="K18" s="41" t="n"/>
      <c r="L18" s="3">
        <f>J18-K18</f>
        <v/>
      </c>
      <c r="M18" s="69">
        <f>ConsolidatedMHrequirementSep25!G18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idden="1" ht="15" customFormat="1" customHeight="1" s="34">
      <c r="A19" s="10" t="inlineStr">
        <is>
          <t>B348</t>
        </is>
      </c>
      <c r="B19" s="3">
        <f>ConsolidatedMHrequirementSep25!B19</f>
        <v/>
      </c>
      <c r="C19" s="41" t="n"/>
      <c r="D19" s="41" t="n"/>
      <c r="E19" s="41" t="n"/>
      <c r="F19" s="44" t="n">
        <v>1</v>
      </c>
      <c r="G19" s="3">
        <f>ConsolidatedMHrequirementSep25!D19</f>
        <v/>
      </c>
      <c r="H19" s="3">
        <f>ConsolidatedMHrequirementSep25!C19</f>
        <v/>
      </c>
      <c r="I19" s="3">
        <f>ConsolidatedMHrequirementSep25!E19</f>
        <v/>
      </c>
      <c r="J19" s="41">
        <f>VLOOKUP(A19,ConsolidatedMHrequirementSep25!$A$4:$I$44,6,FALSE)</f>
        <v/>
      </c>
      <c r="K19" s="41" t="n"/>
      <c r="L19" s="3">
        <f>J19-K19</f>
        <v/>
      </c>
      <c r="M19" s="69">
        <f>ConsolidatedMHrequirementSep25!G19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idden="1" ht="15.5" customFormat="1" customHeight="1" s="34">
      <c r="A20" s="10" t="inlineStr">
        <is>
          <t>B359</t>
        </is>
      </c>
      <c r="B20" s="3">
        <f>ConsolidatedMHrequirementSep25!B20</f>
        <v/>
      </c>
      <c r="C20" s="41" t="n"/>
      <c r="D20" s="41" t="n"/>
      <c r="E20" s="41" t="n"/>
      <c r="F20" s="44" t="n"/>
      <c r="G20" s="3">
        <f>ConsolidatedMHrequirementSep25!D20</f>
        <v/>
      </c>
      <c r="H20" s="3">
        <f>ConsolidatedMHrequirementSep25!C20</f>
        <v/>
      </c>
      <c r="I20" s="3">
        <f>ConsolidatedMHrequirementSep25!E20</f>
        <v/>
      </c>
      <c r="J20" s="41">
        <f>VLOOKUP(A20,ConsolidatedMHrequirementSep25!$A$4:$I$44,6,FALSE)</f>
        <v/>
      </c>
      <c r="K20" s="41" t="n"/>
      <c r="L20" s="3">
        <f>J20-K20</f>
        <v/>
      </c>
      <c r="M20" s="69">
        <f>ConsolidatedMHrequirementSep25!G20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idden="1" ht="15" customFormat="1" customHeight="1" s="34">
      <c r="A21" s="10" t="inlineStr">
        <is>
          <t>B378</t>
        </is>
      </c>
      <c r="B21" s="3">
        <f>ConsolidatedMHrequirementSep25!B21</f>
        <v/>
      </c>
      <c r="C21" s="41" t="n"/>
      <c r="D21" s="41" t="n"/>
      <c r="E21" s="41" t="n"/>
      <c r="F21" s="44" t="n"/>
      <c r="G21" s="3">
        <f>ConsolidatedMHrequirementSep25!D21</f>
        <v/>
      </c>
      <c r="H21" s="3">
        <f>ConsolidatedMHrequirementSep25!C21</f>
        <v/>
      </c>
      <c r="I21" s="3">
        <f>ConsolidatedMHrequirementSep25!E21</f>
        <v/>
      </c>
      <c r="J21" s="41">
        <f>VLOOKUP(A21,ConsolidatedMHrequirementSep25!$A$4:$I$44,6,FALSE)</f>
        <v/>
      </c>
      <c r="K21" s="44" t="n">
        <v>122</v>
      </c>
      <c r="L21" s="3">
        <f>J21-K21</f>
        <v/>
      </c>
      <c r="M21" s="69">
        <f>ConsolidatedMHrequirementSep25!G21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B414</t>
        </is>
      </c>
      <c r="B22" s="3">
        <f>ConsolidatedMHrequirementSep25!B22</f>
        <v/>
      </c>
      <c r="C22" s="41" t="n"/>
      <c r="D22" s="41" t="n"/>
      <c r="E22" s="41" t="n"/>
      <c r="F22" s="44" t="n"/>
      <c r="G22" s="3">
        <f>ConsolidatedMHrequirementSep25!D22</f>
        <v/>
      </c>
      <c r="H22" s="3">
        <f>ConsolidatedMHrequirementSep25!C22</f>
        <v/>
      </c>
      <c r="I22" s="3">
        <f>ConsolidatedMHrequirementSep25!E22</f>
        <v/>
      </c>
      <c r="J22" s="41">
        <f>VLOOKUP(A22,ConsolidatedMHrequirementSep25!$A$4:$I$44,6,FALSE)</f>
        <v/>
      </c>
      <c r="K22" s="41" t="n"/>
      <c r="L22" s="3">
        <f>J22-K22</f>
        <v/>
      </c>
      <c r="M22" s="69">
        <f>ConsolidatedMHrequirementSep25!G22</f>
        <v/>
      </c>
      <c r="N22" s="69" t="n"/>
      <c r="O22" s="69" t="n"/>
      <c r="P22" s="69" t="n"/>
      <c r="Q22" s="69" t="n"/>
      <c r="R22" s="69" t="n"/>
      <c r="S22" s="69" t="n"/>
      <c r="T22" s="69" t="n"/>
      <c r="V22" s="48" t="n"/>
      <c r="W22" s="48" t="n"/>
      <c r="X22" s="48" t="n"/>
      <c r="Y22" s="48" t="n"/>
    </row>
    <row r="23" hidden="1" ht="15" customFormat="1" customHeight="1" s="34">
      <c r="A23" s="10" t="inlineStr">
        <is>
          <t>B436</t>
        </is>
      </c>
      <c r="B23" s="3">
        <f>ConsolidatedMHrequirementSep25!B23</f>
        <v/>
      </c>
      <c r="C23" s="41" t="n"/>
      <c r="D23" s="41" t="n"/>
      <c r="E23" s="41" t="n"/>
      <c r="F23" s="44" t="n"/>
      <c r="G23" s="3">
        <f>ConsolidatedMHrequirementSep25!D23</f>
        <v/>
      </c>
      <c r="H23" s="3">
        <f>ConsolidatedMHrequirementSep25!C23</f>
        <v/>
      </c>
      <c r="I23" s="3">
        <f>ConsolidatedMHrequirementSep25!E23</f>
        <v/>
      </c>
      <c r="J23" s="41">
        <f>VLOOKUP(A23,ConsolidatedMHrequirementSep25!$A$4:$I$44,6,FALSE)</f>
        <v/>
      </c>
      <c r="K23" s="41" t="n"/>
      <c r="L23" s="3">
        <f>J23-K23</f>
        <v/>
      </c>
      <c r="M23" s="69">
        <f>ConsolidatedMHrequirementSep25!G23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idden="1" ht="15" customFormat="1" customHeight="1" s="34">
      <c r="A24" s="10" t="inlineStr">
        <is>
          <t>B440</t>
        </is>
      </c>
      <c r="B24" s="3">
        <f>ConsolidatedMHrequirementSep25!B24</f>
        <v/>
      </c>
      <c r="C24" s="41" t="n"/>
      <c r="D24" s="41" t="n"/>
      <c r="E24" s="41" t="n"/>
      <c r="F24" s="44" t="n"/>
      <c r="G24" s="3">
        <f>ConsolidatedMHrequirementSep25!D24</f>
        <v/>
      </c>
      <c r="H24" s="3">
        <f>ConsolidatedMHrequirementSep25!C24</f>
        <v/>
      </c>
      <c r="I24" s="3">
        <f>ConsolidatedMHrequirementSep25!E24</f>
        <v/>
      </c>
      <c r="J24" s="41">
        <f>VLOOKUP(A24,ConsolidatedMHrequirementSep25!$A$4:$I$44,6,FALSE)</f>
        <v/>
      </c>
      <c r="K24" s="41" t="n">
        <v>51</v>
      </c>
      <c r="L24" s="3">
        <f>J24-K24</f>
        <v/>
      </c>
      <c r="M24" s="69">
        <f>ConsolidatedMHrequirementSep25!G24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idden="1" ht="15" customFormat="1" customHeight="1" s="34">
      <c r="A25" s="10" t="inlineStr">
        <is>
          <t>B448</t>
        </is>
      </c>
      <c r="B25" s="3">
        <f>ConsolidatedMHrequirementSep25!B25</f>
        <v/>
      </c>
      <c r="C25" s="41" t="n"/>
      <c r="D25" s="41" t="n"/>
      <c r="E25" s="41" t="n"/>
      <c r="F25" s="44" t="n"/>
      <c r="G25" s="3">
        <f>ConsolidatedMHrequirementSep25!D25</f>
        <v/>
      </c>
      <c r="H25" s="3">
        <f>ConsolidatedMHrequirementSep25!C25</f>
        <v/>
      </c>
      <c r="I25" s="3">
        <f>ConsolidatedMHrequirementSep25!E25</f>
        <v/>
      </c>
      <c r="J25" s="41">
        <f>VLOOKUP(A25,ConsolidatedMHrequirementSep25!$A$4:$I$44,6,FALSE)</f>
        <v/>
      </c>
      <c r="K25" s="41" t="n"/>
      <c r="L25" s="3">
        <f>J25-K25</f>
        <v/>
      </c>
      <c r="M25" s="69">
        <f>ConsolidatedMHrequirementSep25!G25</f>
        <v/>
      </c>
      <c r="N25" s="69" t="n"/>
      <c r="O25" s="69" t="n"/>
      <c r="P25" s="69" t="n"/>
      <c r="Q25" s="69" t="n"/>
      <c r="R25" s="69" t="n"/>
      <c r="S25" s="69" t="n"/>
      <c r="T25" s="69" t="n"/>
      <c r="V25" s="34" t="inlineStr">
        <is>
          <t xml:space="preserve"> </t>
        </is>
      </c>
      <c r="W25" s="34" t="inlineStr">
        <is>
          <t xml:space="preserve"> </t>
        </is>
      </c>
      <c r="X25" s="34" t="inlineStr">
        <is>
          <t xml:space="preserve"> </t>
        </is>
      </c>
      <c r="Y25" s="34" t="inlineStr">
        <is>
          <t xml:space="preserve"> </t>
        </is>
      </c>
    </row>
    <row r="26" hidden="1" ht="15" customFormat="1" customHeight="1" s="34">
      <c r="A26" s="10" t="inlineStr">
        <is>
          <t>B519</t>
        </is>
      </c>
      <c r="B26" s="3">
        <f>ConsolidatedMHrequirementSep25!B26</f>
        <v/>
      </c>
      <c r="C26" s="3" t="n"/>
      <c r="D26" s="3" t="n"/>
      <c r="E26" s="3" t="n"/>
      <c r="F26" s="90" t="n"/>
      <c r="G26" s="3">
        <f>ConsolidatedMHrequirementSep25!D26</f>
        <v/>
      </c>
      <c r="H26" s="3">
        <f>ConsolidatedMHrequirementSep25!C26</f>
        <v/>
      </c>
      <c r="I26" s="3">
        <f>ConsolidatedMHrequirementSep25!E26</f>
        <v/>
      </c>
      <c r="J26" s="41">
        <f>VLOOKUP(A26,ConsolidatedMHrequirementSep25!$A$4:$I$44,6,FALSE)</f>
        <v/>
      </c>
      <c r="K26" s="41" t="n"/>
      <c r="L26" s="3">
        <f>J26-K26</f>
        <v/>
      </c>
      <c r="M26" s="69">
        <f>ConsolidatedMHrequirementSep25!G26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 xml:space="preserve"> </t>
        </is>
      </c>
      <c r="W26" s="34" t="inlineStr">
        <is>
          <t xml:space="preserve"> </t>
        </is>
      </c>
    </row>
    <row r="27" hidden="1" s="125">
      <c r="A27" s="10" t="inlineStr">
        <is>
          <t>B548</t>
        </is>
      </c>
      <c r="B27" s="3">
        <f>ConsolidatedMHrequirementSep25!B27</f>
        <v/>
      </c>
      <c r="C27" s="41" t="n"/>
      <c r="D27" s="41" t="n"/>
      <c r="E27" s="41" t="n"/>
      <c r="F27" s="44" t="n"/>
      <c r="G27" s="3">
        <f>ConsolidatedMHrequirementSep25!D27</f>
        <v/>
      </c>
      <c r="H27" s="3">
        <f>ConsolidatedMHrequirementSep25!C27</f>
        <v/>
      </c>
      <c r="I27" s="3">
        <f>ConsolidatedMHrequirementSep25!E27</f>
        <v/>
      </c>
      <c r="J27" s="41">
        <f>VLOOKUP(A27,ConsolidatedMHrequirementSep25!$A$4:$I$44,6,FALSE)</f>
        <v/>
      </c>
      <c r="K27" s="41" t="n"/>
      <c r="L27" s="3">
        <f>J27-K27</f>
        <v/>
      </c>
      <c r="M27" s="69">
        <f>ConsolidatedMHrequirementSep25!G27</f>
        <v/>
      </c>
      <c r="N27" s="69" t="n"/>
      <c r="O27" s="69" t="n"/>
      <c r="P27" s="69" t="n"/>
      <c r="Q27" s="69" t="n"/>
      <c r="R27" s="69" t="n"/>
      <c r="S27" s="69" t="n"/>
      <c r="T27" s="69" t="n"/>
    </row>
    <row r="28" hidden="1" ht="15" customFormat="1" customHeight="1" s="34">
      <c r="A28" s="10" t="inlineStr">
        <is>
          <t>B559</t>
        </is>
      </c>
      <c r="B28" s="3">
        <f>ConsolidatedMHrequirementSep25!B28</f>
        <v/>
      </c>
      <c r="C28" s="3" t="n"/>
      <c r="D28" s="3" t="n"/>
      <c r="E28" s="3" t="n"/>
      <c r="F28" s="90" t="n">
        <v>1</v>
      </c>
      <c r="G28" s="3">
        <f>ConsolidatedMHrequirementSep25!D28</f>
        <v/>
      </c>
      <c r="H28" s="3">
        <f>ConsolidatedMHrequirementSep25!C28</f>
        <v/>
      </c>
      <c r="I28" s="3">
        <f>ConsolidatedMHrequirementSep25!E28</f>
        <v/>
      </c>
      <c r="J28" s="41">
        <f>VLOOKUP(A28,ConsolidatedMHrequirementSep25!$A$4:$I$44,6,FALSE)</f>
        <v/>
      </c>
      <c r="K28" s="41" t="n"/>
      <c r="L28" s="3">
        <f>J28-K28</f>
        <v/>
      </c>
      <c r="M28" s="69">
        <f>ConsolidatedMHrequirementSep25!G28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idden="1" ht="15" customFormat="1" customHeight="1" s="34">
      <c r="A29" s="10" t="inlineStr">
        <is>
          <t>B560</t>
        </is>
      </c>
      <c r="B29" s="3">
        <f>ConsolidatedMHrequirementSep25!B29</f>
        <v/>
      </c>
      <c r="C29" s="41" t="n"/>
      <c r="D29" s="41" t="n"/>
      <c r="E29" s="41" t="n"/>
      <c r="F29" s="44" t="n">
        <v>1</v>
      </c>
      <c r="G29" s="3">
        <f>ConsolidatedMHrequirementSep25!D29</f>
        <v/>
      </c>
      <c r="H29" s="3">
        <f>ConsolidatedMHrequirementSep25!C29</f>
        <v/>
      </c>
      <c r="I29" s="3">
        <f>ConsolidatedMHrequirementSep25!E29</f>
        <v/>
      </c>
      <c r="J29" s="41">
        <f>VLOOKUP(A29,ConsolidatedMHrequirementSep25!$A$4:$I$44,6,FALSE)</f>
        <v/>
      </c>
      <c r="K29" s="41" t="n"/>
      <c r="L29" s="3">
        <f>J29-K29</f>
        <v/>
      </c>
      <c r="M29" s="69">
        <f>ConsolidatedMHrequirementSep25!G29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idden="1" s="125">
      <c r="A30" s="10" t="inlineStr">
        <is>
          <t>B589</t>
        </is>
      </c>
      <c r="B30" s="3">
        <f>ConsolidatedMHrequirementSep25!B30</f>
        <v/>
      </c>
      <c r="C30" s="3" t="n"/>
      <c r="D30" s="3" t="n"/>
      <c r="E30" s="3" t="n"/>
      <c r="F30" s="66" t="n"/>
      <c r="G30" s="3">
        <f>ConsolidatedMHrequirementSep25!D30</f>
        <v/>
      </c>
      <c r="H30" s="3">
        <f>ConsolidatedMHrequirementSep25!C30</f>
        <v/>
      </c>
      <c r="I30" s="3">
        <f>ConsolidatedMHrequirementSep25!E30</f>
        <v/>
      </c>
      <c r="J30" s="41">
        <f>VLOOKUP(A30,ConsolidatedMHrequirementSep25!$A$4:$I$44,6,FALSE)</f>
        <v/>
      </c>
      <c r="K30" s="41" t="n"/>
      <c r="L30" s="3">
        <f>J30-K30</f>
        <v/>
      </c>
      <c r="M30" s="69">
        <f>ConsolidatedMHrequirementSep25!G30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idden="1" customFormat="1" s="34">
      <c r="A31" s="10" t="inlineStr">
        <is>
          <t>B650</t>
        </is>
      </c>
      <c r="B31" s="3">
        <f>ConsolidatedMHrequirementSep25!B31</f>
        <v/>
      </c>
      <c r="C31" s="3" t="n"/>
      <c r="D31" s="3" t="n"/>
      <c r="E31" s="3" t="n"/>
      <c r="F31" s="68" t="n"/>
      <c r="G31" s="3">
        <f>ConsolidatedMHrequirementSep25!D31</f>
        <v/>
      </c>
      <c r="H31" s="3">
        <f>ConsolidatedMHrequirementSep25!C31</f>
        <v/>
      </c>
      <c r="I31" s="3">
        <f>ConsolidatedMHrequirementSep25!E31</f>
        <v/>
      </c>
      <c r="J31" s="41">
        <f>VLOOKUP(A31,ConsolidatedMHrequirementSep25!$A$4:$I$44,6,FALSE)</f>
        <v/>
      </c>
      <c r="K31" s="41" t="n"/>
      <c r="L31" s="3">
        <f>J31-K31</f>
        <v/>
      </c>
      <c r="M31" s="69">
        <f>ConsolidatedMHrequirementSep25!G31</f>
        <v/>
      </c>
      <c r="N31" s="69" t="n"/>
      <c r="O31" s="69" t="n"/>
      <c r="P31" s="69" t="n"/>
      <c r="Q31" s="69" t="n"/>
      <c r="R31" s="69" t="n"/>
      <c r="S31" s="69" t="n"/>
      <c r="T31" s="69" t="n"/>
      <c r="X31" s="34" t="inlineStr">
        <is>
          <t xml:space="preserve"> </t>
        </is>
      </c>
    </row>
    <row r="32" hidden="1" ht="15" customFormat="1" customHeight="1" s="34">
      <c r="A32" s="10" t="inlineStr">
        <is>
          <t>B653</t>
        </is>
      </c>
      <c r="B32" s="3">
        <f>ConsolidatedMHrequirementSep25!B32</f>
        <v/>
      </c>
      <c r="C32" s="3" t="n"/>
      <c r="D32" s="3" t="n"/>
      <c r="E32" s="3" t="n"/>
      <c r="F32" s="66" t="n"/>
      <c r="G32" s="3">
        <f>ConsolidatedMHrequirementSep25!D32</f>
        <v/>
      </c>
      <c r="H32" s="3">
        <f>ConsolidatedMHrequirementSep25!C32</f>
        <v/>
      </c>
      <c r="I32" s="3">
        <f>ConsolidatedMHrequirementSep25!E32</f>
        <v/>
      </c>
      <c r="J32" s="41">
        <f>VLOOKUP(A32,ConsolidatedMHrequirementSep25!$A$4:$I$44,6,FALSE)</f>
        <v/>
      </c>
      <c r="K32" s="41" t="n">
        <v>40</v>
      </c>
      <c r="L32" s="3">
        <f>J32-K32</f>
        <v/>
      </c>
      <c r="M32" s="69">
        <f>ConsolidatedMHrequirementSep25!G32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hidden="1" ht="14.5" customFormat="1" customHeight="1" s="34">
      <c r="A33" s="10" t="inlineStr">
        <is>
          <t>B725</t>
        </is>
      </c>
      <c r="B33" s="3">
        <f>ConsolidatedMHrequirementSep25!B33</f>
        <v/>
      </c>
      <c r="C33" s="3" t="n"/>
      <c r="D33" s="3" t="n"/>
      <c r="E33" s="3" t="n"/>
      <c r="F33" s="68" t="n"/>
      <c r="G33" s="3">
        <f>ConsolidatedMHrequirementSep25!D33</f>
        <v/>
      </c>
      <c r="H33" s="3">
        <f>ConsolidatedMHrequirementSep25!C33</f>
        <v/>
      </c>
      <c r="I33" s="3">
        <f>ConsolidatedMHrequirementSep25!E33</f>
        <v/>
      </c>
      <c r="J33" s="41">
        <f>VLOOKUP(A33,ConsolidatedMHrequirementSep25!$A$4:$I$44,6,FALSE)</f>
        <v/>
      </c>
      <c r="K33" s="41" t="n"/>
      <c r="L33" s="3">
        <f>J33-K33</f>
        <v/>
      </c>
      <c r="M33" s="69">
        <f>ConsolidatedMHrequirementSep25!G33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hidden="1" ht="14.5" customFormat="1" customHeight="1" s="34">
      <c r="A34" s="10" t="inlineStr">
        <is>
          <t>B767</t>
        </is>
      </c>
      <c r="B34" s="3">
        <f>ConsolidatedMHrequirementSep25!B34</f>
        <v/>
      </c>
      <c r="C34" s="3" t="n"/>
      <c r="D34" s="3" t="n"/>
      <c r="E34" s="3" t="n"/>
      <c r="F34" s="68" t="n"/>
      <c r="G34" s="3">
        <f>ConsolidatedMHrequirementSep25!D34</f>
        <v/>
      </c>
      <c r="H34" s="3">
        <f>ConsolidatedMHrequirementSep25!C34</f>
        <v/>
      </c>
      <c r="I34" s="3">
        <f>ConsolidatedMHrequirementSep25!E34</f>
        <v/>
      </c>
      <c r="J34" s="41">
        <f>VLOOKUP(A34,ConsolidatedMHrequirementSep25!$A$4:$I$44,6,FALSE)</f>
        <v/>
      </c>
      <c r="K34" s="41" t="n"/>
      <c r="L34" s="3">
        <f>J34-K34</f>
        <v/>
      </c>
      <c r="M34" s="69">
        <f>ConsolidatedMHrequirementSep25!G34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idden="1" ht="14.5" customFormat="1" customHeight="1" s="34">
      <c r="A35" s="10" t="inlineStr">
        <is>
          <t>B795</t>
        </is>
      </c>
      <c r="B35" s="3">
        <f>ConsolidatedMHrequirementSep25!B35</f>
        <v/>
      </c>
      <c r="C35" s="3" t="n"/>
      <c r="D35" s="3" t="n"/>
      <c r="E35" s="3" t="n"/>
      <c r="F35" s="68" t="n"/>
      <c r="G35" s="3">
        <f>ConsolidatedMHrequirementSep25!D35</f>
        <v/>
      </c>
      <c r="H35" s="3">
        <f>ConsolidatedMHrequirementSep25!C35</f>
        <v/>
      </c>
      <c r="I35" s="3">
        <f>ConsolidatedMHrequirementSep25!E35</f>
        <v/>
      </c>
      <c r="J35" s="41">
        <f>VLOOKUP(A35,ConsolidatedMHrequirementSep25!$A$4:$I$44,6,FALSE)</f>
        <v/>
      </c>
      <c r="K35" s="41" t="n"/>
      <c r="L35" s="3">
        <f>J35-K35</f>
        <v/>
      </c>
      <c r="M35" s="69">
        <f>ConsolidatedMHrequirementSep25!G35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idden="1" ht="14.5" customFormat="1" customHeight="1" s="34">
      <c r="A36" s="10" t="inlineStr">
        <is>
          <t>B813</t>
        </is>
      </c>
      <c r="B36" s="3">
        <f>ConsolidatedMHrequirementSep25!B36</f>
        <v/>
      </c>
      <c r="C36" s="3" t="n"/>
      <c r="D36" s="3" t="n"/>
      <c r="E36" s="3" t="n"/>
      <c r="F36" s="68" t="n"/>
      <c r="G36" s="3">
        <f>ConsolidatedMHrequirementSep25!D36</f>
        <v/>
      </c>
      <c r="H36" s="3">
        <f>ConsolidatedMHrequirementSep25!C36</f>
        <v/>
      </c>
      <c r="I36" s="3">
        <f>ConsolidatedMHrequirementSep25!E36</f>
        <v/>
      </c>
      <c r="J36" s="41">
        <f>VLOOKUP(A36,ConsolidatedMHrequirementSep25!$A$4:$I$44,6,FALSE)</f>
        <v/>
      </c>
      <c r="K36" s="41" t="n">
        <v>6</v>
      </c>
      <c r="L36" s="3">
        <f>J36-K36</f>
        <v/>
      </c>
      <c r="M36" s="69">
        <f>ConsolidatedMHrequirementSep25!G36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idden="1" ht="14.5" customFormat="1" customHeight="1" s="34">
      <c r="A37" s="10" t="inlineStr">
        <is>
          <t>B861</t>
        </is>
      </c>
      <c r="B37" s="3">
        <f>ConsolidatedMHrequirementSep25!B37</f>
        <v/>
      </c>
      <c r="C37" s="3" t="n"/>
      <c r="D37" s="3" t="n"/>
      <c r="E37" s="3" t="n"/>
      <c r="F37" s="68" t="n"/>
      <c r="G37" s="3">
        <f>ConsolidatedMHrequirementSep25!D37</f>
        <v/>
      </c>
      <c r="H37" s="3">
        <f>ConsolidatedMHrequirementSep25!C37</f>
        <v/>
      </c>
      <c r="I37" s="3">
        <f>ConsolidatedMHrequirementSep25!E37</f>
        <v/>
      </c>
      <c r="J37" s="41">
        <f>VLOOKUP(A37,ConsolidatedMHrequirementSep25!$A$4:$I$44,6,FALSE)</f>
        <v/>
      </c>
      <c r="K37" s="41" t="n">
        <v>42</v>
      </c>
      <c r="L37" s="3">
        <f>J37-K37</f>
        <v/>
      </c>
      <c r="M37" s="69">
        <f>ConsolidatedMHrequirementSep25!G37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idden="1" ht="22" customFormat="1" customHeight="1" s="34">
      <c r="A38" s="10" t="inlineStr">
        <is>
          <t>B862</t>
        </is>
      </c>
      <c r="B38" s="3">
        <f>ConsolidatedMHrequirementSep25!B38</f>
        <v/>
      </c>
      <c r="C38" s="3" t="n"/>
      <c r="D38" s="3" t="n"/>
      <c r="E38" s="3" t="n"/>
      <c r="F38" s="66" t="n"/>
      <c r="G38" s="3">
        <f>ConsolidatedMHrequirementSep25!D38</f>
        <v/>
      </c>
      <c r="H38" s="3">
        <f>ConsolidatedMHrequirementSep25!C38</f>
        <v/>
      </c>
      <c r="I38" s="3">
        <f>ConsolidatedMHrequirementSep25!E38</f>
        <v/>
      </c>
      <c r="J38" s="41">
        <f>VLOOKUP(A38,ConsolidatedMHrequirementSep25!$A$4:$I$44,6,FALSE)</f>
        <v/>
      </c>
      <c r="K38" s="41" t="n"/>
      <c r="L38" s="3">
        <f>J38-K38</f>
        <v/>
      </c>
      <c r="M38" s="69">
        <f>ConsolidatedMHrequirementSep25!G38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idden="1" ht="19" customFormat="1" customHeight="1" s="34">
      <c r="A39" s="10" t="inlineStr">
        <is>
          <t>B865</t>
        </is>
      </c>
      <c r="B39" s="3">
        <f>ConsolidatedMHrequirementSep25!B39</f>
        <v/>
      </c>
      <c r="C39" s="3" t="n"/>
      <c r="D39" s="3" t="n"/>
      <c r="E39" s="3" t="n"/>
      <c r="F39" s="66" t="n"/>
      <c r="G39" s="3">
        <f>ConsolidatedMHrequirementSep25!D39</f>
        <v/>
      </c>
      <c r="H39" s="3">
        <f>ConsolidatedMHrequirementSep25!C39</f>
        <v/>
      </c>
      <c r="I39" s="3">
        <f>ConsolidatedMHrequirementSep25!E39</f>
        <v/>
      </c>
      <c r="J39" s="41">
        <f>VLOOKUP(A39,ConsolidatedMHrequirementSep25!$A$4:$I$44,6,FALSE)</f>
        <v/>
      </c>
      <c r="K39" s="44" t="n"/>
      <c r="L39" s="3">
        <f>J39-K39</f>
        <v/>
      </c>
      <c r="M39" s="69">
        <f>ConsolidatedMHrequirementSep25!G39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idden="1" ht="20" customFormat="1" customHeight="1" s="34">
      <c r="A40" s="10" t="inlineStr">
        <is>
          <t>B903</t>
        </is>
      </c>
      <c r="B40" s="3">
        <f>ConsolidatedMHrequirementSep25!B40</f>
        <v/>
      </c>
      <c r="C40" s="3" t="n"/>
      <c r="D40" s="3" t="n"/>
      <c r="E40" s="3" t="n"/>
      <c r="F40" s="66" t="n"/>
      <c r="G40" s="3">
        <f>ConsolidatedMHrequirementSep25!D40</f>
        <v/>
      </c>
      <c r="H40" s="3">
        <f>ConsolidatedMHrequirementSep25!C40</f>
        <v/>
      </c>
      <c r="I40" s="3">
        <f>ConsolidatedMHrequirementSep25!E40</f>
        <v/>
      </c>
      <c r="J40" s="41">
        <f>VLOOKUP(A40,ConsolidatedMHrequirementSep25!$A$4:$I$44,6,FALSE)</f>
        <v/>
      </c>
      <c r="K40" s="54" t="n"/>
      <c r="L40" s="3">
        <f>J40-K40</f>
        <v/>
      </c>
      <c r="M40" s="69">
        <f>ConsolidatedMHrequirementSep25!G40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idden="1" customFormat="1" s="34">
      <c r="A41" s="10" t="inlineStr">
        <is>
          <t>B904</t>
        </is>
      </c>
      <c r="B41" s="3">
        <f>ConsolidatedMHrequirementSep25!B41</f>
        <v/>
      </c>
      <c r="C41" s="41" t="n"/>
      <c r="D41" s="41" t="n"/>
      <c r="E41" s="41" t="n"/>
      <c r="F41" s="54" t="n"/>
      <c r="G41" s="3">
        <f>ConsolidatedMHrequirementSep25!D41</f>
        <v/>
      </c>
      <c r="H41" s="3">
        <f>ConsolidatedMHrequirementSep25!C41</f>
        <v/>
      </c>
      <c r="I41" s="3">
        <f>ConsolidatedMHrequirementSep25!E41</f>
        <v/>
      </c>
      <c r="J41" s="41">
        <f>VLOOKUP(A41,ConsolidatedMHrequirementSep25!$A$4:$I$44,6,FALSE)</f>
        <v/>
      </c>
      <c r="K41" s="41" t="n"/>
      <c r="L41" s="3">
        <f>J41-K41</f>
        <v/>
      </c>
      <c r="M41" s="69">
        <f>ConsolidatedMHrequirementSep25!G41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idden="1" customFormat="1" s="34">
      <c r="A42" s="10" t="inlineStr">
        <is>
          <t>B933</t>
        </is>
      </c>
      <c r="B42" s="3">
        <f>ConsolidatedMHrequirementSep25!B42</f>
        <v/>
      </c>
      <c r="C42" s="41" t="n"/>
      <c r="D42" s="41" t="n"/>
      <c r="E42" s="41" t="n"/>
      <c r="F42" s="54" t="n"/>
      <c r="G42" s="3">
        <f>ConsolidatedMHrequirementSep25!D42</f>
        <v/>
      </c>
      <c r="H42" s="3">
        <f>ConsolidatedMHrequirementSep25!C42</f>
        <v/>
      </c>
      <c r="I42" s="3">
        <f>ConsolidatedMHrequirementSep25!E42</f>
        <v/>
      </c>
      <c r="J42" s="41">
        <f>VLOOKUP(A42,ConsolidatedMHrequirementSep25!$A$4:$I$44,6,FALSE)</f>
        <v/>
      </c>
      <c r="K42" s="41" t="n">
        <v>12</v>
      </c>
      <c r="L42" s="3">
        <f>J42-K42</f>
        <v/>
      </c>
      <c r="M42" s="69" t="n"/>
      <c r="N42" s="69" t="n"/>
      <c r="O42" s="69" t="n"/>
      <c r="P42" s="69" t="n"/>
      <c r="Q42" s="69" t="n"/>
      <c r="R42" s="69" t="n"/>
      <c r="S42" s="69" t="n"/>
      <c r="T42" s="69" t="n"/>
    </row>
    <row r="43" hidden="1" customFormat="1" s="34">
      <c r="A43" s="10" t="inlineStr">
        <is>
          <t>C007</t>
        </is>
      </c>
      <c r="B43" s="3">
        <f>ConsolidatedMHrequirementSep25!B43</f>
        <v/>
      </c>
      <c r="C43" s="41" t="n"/>
      <c r="D43" s="41" t="n"/>
      <c r="E43" s="41" t="n"/>
      <c r="F43" s="54" t="n"/>
      <c r="G43" s="3">
        <f>ConsolidatedMHrequirementSep25!D43</f>
        <v/>
      </c>
      <c r="H43" s="3">
        <f>ConsolidatedMHrequirementSep25!C43</f>
        <v/>
      </c>
      <c r="I43" s="3">
        <f>ConsolidatedMHrequirementSep25!E43</f>
        <v/>
      </c>
      <c r="J43" s="41">
        <f>VLOOKUP(A43,ConsolidatedMHrequirementSep25!$A$4:$I$44,6,FALSE)</f>
        <v/>
      </c>
      <c r="K43" s="41" t="n"/>
      <c r="L43" s="3" t="n"/>
      <c r="M43" s="69">
        <f>ConsolidatedMHrequirementSep25!G43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idden="1" s="125">
      <c r="A44" s="3" t="inlineStr">
        <is>
          <t>Leave</t>
        </is>
      </c>
      <c r="B44" s="3">
        <f>ConsolidatedMHrequirementSep25!B44</f>
        <v/>
      </c>
      <c r="C44" s="3" t="n"/>
      <c r="D44" s="3" t="n"/>
      <c r="E44" s="3" t="n"/>
      <c r="F44" s="3" t="n"/>
      <c r="G44" s="3">
        <f>ConsolidatedMHrequirementSep25!D44</f>
        <v/>
      </c>
      <c r="H44" s="3">
        <f>ConsolidatedMHrequirementSep25!C44</f>
        <v/>
      </c>
      <c r="I44" s="3">
        <f>ConsolidatedMHrequirementSep25!E44</f>
        <v/>
      </c>
      <c r="J44" s="41">
        <f>VLOOKUP(A44,ConsolidatedMHrequirementSep25!$A$4:$I$44,6,FALSE)</f>
        <v/>
      </c>
      <c r="K44" s="41">
        <f>J44</f>
        <v/>
      </c>
      <c r="L44" s="3">
        <f>J44-K44</f>
        <v/>
      </c>
      <c r="M44" s="69">
        <f>ConsolidatedMHrequirementSep25!G44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idden="1" s="125">
      <c r="A45" s="3" t="inlineStr">
        <is>
          <t>Total</t>
        </is>
      </c>
      <c r="B45" s="3" t="n"/>
      <c r="C45" s="3" t="n"/>
      <c r="D45" s="3" t="n"/>
      <c r="E45" s="3" t="n"/>
      <c r="F45" s="3" t="n"/>
      <c r="G45" s="3">
        <f>ConsolidatedMHrequirementSep25!D45</f>
        <v/>
      </c>
      <c r="H45" s="3">
        <f>ConsolidatedMHrequirementSep25!C45</f>
        <v/>
      </c>
      <c r="I45" s="3">
        <f>ConsolidatedMHrequirementSep25!E45</f>
        <v/>
      </c>
      <c r="J45" s="41">
        <f>VLOOKUP(A45,ConsolidatedMHrequirementSep25!$A$4:$I$45,6,FALSE)</f>
        <v/>
      </c>
      <c r="K45" s="3">
        <f>SUM(K4:K44)</f>
        <v/>
      </c>
      <c r="L45" s="3">
        <f>SUM(L4:L44)</f>
        <v/>
      </c>
    </row>
    <row r="46">
      <c r="A46" s="55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55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24" t="inlineStr">
        <is>
          <t xml:space="preserve">Guidelines : 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</row>
    <row r="49">
      <c r="A49" s="26" t="inlineStr">
        <is>
          <t>1. Inspection Visit including review and endorsement of final documents: At  actual</t>
        </is>
      </c>
      <c r="B49" s="26" t="n"/>
    </row>
    <row r="50">
      <c r="A50" s="26" t="inlineStr">
        <is>
          <t xml:space="preserve">2. Expediting and preparation of expediting report: Average 2 hours /month /order ( No separate man hours for coordination ) </t>
        </is>
      </c>
    </row>
    <row r="51">
      <c r="A51" s="26" t="inlineStr">
        <is>
          <t xml:space="preserve">3. Expediting visit/ Attending meeting with project/.Client: At  actual </t>
        </is>
      </c>
    </row>
    <row r="52">
      <c r="A52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3">
      <c r="A53" s="26" t="inlineStr">
        <is>
          <t xml:space="preserve">5. Review of ITP for Equipment (Mechanical and Electrical/DCS etc): Average 2 hours/order </t>
        </is>
      </c>
    </row>
    <row r="54">
      <c r="A54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5">
      <c r="A55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6">
      <c r="A56" s="26" t="inlineStr">
        <is>
          <t xml:space="preserve">8. Order Closing report: Average 2 hours/Order  </t>
        </is>
      </c>
    </row>
  </sheetData>
  <autoFilter ref="A3:L45">
    <filterColumn colId="0" hiddenButton="0" showButton="1">
      <filters>
        <filter val="B224"/>
        <filter val="B269"/>
        <filter val="B297"/>
        <filter val="B302"/>
        <filter val="B414"/>
      </filters>
    </filterColumn>
  </autoFilter>
  <pageMargins left="0.7" right="0.7" top="0.75" bottom="0.75" header="0.3" footer="0.3"/>
  <pageSetup orientation="landscape" scale="71"/>
</worksheet>
</file>

<file path=xl/worksheets/sheet14.xml><?xml version="1.0" encoding="utf-8"?>
<worksheet xmlns="http://schemas.openxmlformats.org/spreadsheetml/2006/main">
  <sheetPr filterMode="1">
    <outlinePr summaryBelow="1" summaryRight="1"/>
    <pageSetUpPr/>
  </sheetPr>
  <dimension ref="A2:Q46"/>
  <sheetViews>
    <sheetView workbookViewId="0">
      <selection activeCell="G26" sqref="G26"/>
    </sheetView>
  </sheetViews>
  <sheetFormatPr baseColWidth="8" defaultRowHeight="14.5"/>
  <cols>
    <col width="11.453125" customWidth="1" style="125" min="1" max="1"/>
    <col width="7.90625" customWidth="1" style="125" min="2" max="3"/>
    <col width="6" customWidth="1" style="125" min="4" max="4"/>
    <col width="14.1796875" customWidth="1" style="125" min="5" max="5"/>
    <col width="5.90625" customWidth="1" style="125" min="6" max="6"/>
    <col width="9.54296875" customWidth="1" style="125" min="7" max="7"/>
    <col width="8.90625" customWidth="1" style="125" min="8" max="8"/>
    <col width="5.6328125" customWidth="1" style="125" min="9" max="9"/>
    <col width="19.08984375" customWidth="1" style="125" min="11" max="11"/>
    <col width="18.6328125" customWidth="1" style="125" min="12" max="12"/>
  </cols>
  <sheetData>
    <row r="2">
      <c r="A2" s="78" t="n"/>
      <c r="B2" s="78" t="n"/>
      <c r="C2" s="78" t="n"/>
      <c r="D2" s="78" t="n"/>
      <c r="G2" s="78" t="n"/>
      <c r="H2" s="78" t="n"/>
    </row>
    <row r="3" ht="43.5" customHeight="1" s="125">
      <c r="A3" s="73" t="inlineStr">
        <is>
          <t>Job number</t>
        </is>
      </c>
      <c r="B3" s="79" t="inlineStr">
        <is>
          <t>Manhour sought</t>
        </is>
      </c>
      <c r="C3" s="105" t="n"/>
      <c r="D3" s="106" t="n"/>
      <c r="E3" s="74" t="inlineStr">
        <is>
          <t>Total required (Jul-Sep'25)</t>
        </is>
      </c>
      <c r="F3" s="82" t="n"/>
      <c r="G3" s="79" t="inlineStr">
        <is>
          <t>Manhour allocated</t>
        </is>
      </c>
      <c r="H3" s="80" t="n"/>
      <c r="I3" s="81" t="n"/>
      <c r="K3" s="77" t="inlineStr">
        <is>
          <t>Manhour pending from project as on 23/10/25</t>
        </is>
      </c>
      <c r="L3" s="14" t="inlineStr">
        <is>
          <t xml:space="preserve"> </t>
        </is>
      </c>
      <c r="M3" s="122" t="inlineStr">
        <is>
          <t>Final 8518 Bkd</t>
        </is>
      </c>
      <c r="P3" s="85" t="inlineStr">
        <is>
          <t>Monthwise Total</t>
        </is>
      </c>
      <c r="Q3" s="86" t="n"/>
    </row>
    <row r="4" hidden="1" s="125">
      <c r="A4" s="1" t="n"/>
      <c r="B4" s="118" t="inlineStr">
        <is>
          <t>Jul</t>
        </is>
      </c>
      <c r="C4" s="118" t="inlineStr">
        <is>
          <t>Aug</t>
        </is>
      </c>
      <c r="D4" s="118" t="inlineStr">
        <is>
          <t>Sep</t>
        </is>
      </c>
      <c r="E4" s="1" t="n"/>
      <c r="F4" s="1" t="n"/>
      <c r="G4" s="91" t="inlineStr">
        <is>
          <t>Jul</t>
        </is>
      </c>
      <c r="H4" s="91" t="inlineStr">
        <is>
          <t>Aug</t>
        </is>
      </c>
      <c r="I4" s="91" t="inlineStr">
        <is>
          <t>Sep</t>
        </is>
      </c>
      <c r="K4" s="28" t="n"/>
      <c r="M4" t="inlineStr">
        <is>
          <t>Jul</t>
        </is>
      </c>
      <c r="N4" t="inlineStr">
        <is>
          <t>Aug</t>
        </is>
      </c>
      <c r="O4" t="inlineStr">
        <is>
          <t>Sep</t>
        </is>
      </c>
      <c r="P4" s="87" t="n">
        <v>45839</v>
      </c>
      <c r="Q4" s="85" t="n">
        <v>1104</v>
      </c>
    </row>
    <row r="5" hidden="1" ht="14.5" customHeight="1" s="125">
      <c r="A5" s="15">
        <f>'Sep25'!A4</f>
        <v/>
      </c>
      <c r="B5" s="1">
        <f>IFERROR(VLOOKUP('Jul-Sep25MHRequirement'!A5,'Jul25'!$A$4:$L$36,10,FALSE),0)</f>
        <v/>
      </c>
      <c r="C5" s="1">
        <f>'Aug25'!J4</f>
        <v/>
      </c>
      <c r="D5" s="1">
        <f>'Sep25'!J4</f>
        <v/>
      </c>
      <c r="E5" s="1">
        <f>SUM(B5:D5)</f>
        <v/>
      </c>
      <c r="F5" s="1" t="n"/>
      <c r="G5" s="1">
        <f>IFERROR(VLOOKUP('Jul-Sep25MHRequirement'!A5,'Jul25'!$A$4:$L$44,11,FALSE),0)</f>
        <v/>
      </c>
      <c r="H5" s="1">
        <f>IFERROR(VLOOKUP('Jul-Sep25MHRequirement'!A5,'Aug25'!$A$4:$L$36,11,FALSE),0)</f>
        <v/>
      </c>
      <c r="I5" s="1">
        <f>IFERROR(VLOOKUP('Jul-Sep25MHRequirement'!A5,'Sep25'!$A$4:$L$36,11,FALSE),0)</f>
        <v/>
      </c>
      <c r="K5" s="28">
        <f>E5-G5-H5-I5</f>
        <v/>
      </c>
      <c r="M5" t="n">
        <v>353</v>
      </c>
      <c r="N5" t="n">
        <v>296</v>
      </c>
      <c r="O5" t="n">
        <v>133</v>
      </c>
      <c r="P5" s="87" t="n">
        <v>45870</v>
      </c>
      <c r="Q5" s="85" t="n">
        <v>912</v>
      </c>
    </row>
    <row r="6" hidden="1" ht="14.5" customHeight="1" s="125">
      <c r="A6" s="15">
        <f>'Sep25'!A5</f>
        <v/>
      </c>
      <c r="B6" s="1">
        <f>IFERROR(VLOOKUP('Jul-Sep25MHRequirement'!A6,'Jul25'!$A$5:$L$36,10,FALSE),0)</f>
        <v/>
      </c>
      <c r="C6" s="1">
        <f>'Aug25'!J5</f>
        <v/>
      </c>
      <c r="D6" s="1">
        <f>'Sep25'!J5</f>
        <v/>
      </c>
      <c r="E6" s="1">
        <f>SUM(B6:D6)</f>
        <v/>
      </c>
      <c r="F6" s="1" t="n"/>
      <c r="G6" s="1">
        <f>IFERROR(VLOOKUP('Jul-Sep25MHRequirement'!A6,'Jul25'!$A$5:$L$36,11,FALSE),0)</f>
        <v/>
      </c>
      <c r="H6" s="1">
        <f>IFERROR(VLOOKUP('Jul-Sep25MHRequirement'!A6,'Aug25'!$A$4:$L$36,11,FALSE),0)</f>
        <v/>
      </c>
      <c r="I6" s="1">
        <f>IFERROR(VLOOKUP('Jul-Sep25MHRequirement'!A6,'Sep25'!$A$5:$L$36,11,FALSE),0)</f>
        <v/>
      </c>
      <c r="K6" s="28">
        <f>E6-G6-H6-I6</f>
        <v/>
      </c>
      <c r="P6" s="87" t="n">
        <v>45901</v>
      </c>
      <c r="Q6" s="85" t="n">
        <v>1008</v>
      </c>
    </row>
    <row r="7" hidden="1" ht="14.5" customHeight="1" s="125">
      <c r="A7" s="15">
        <f>'Sep25'!A6</f>
        <v/>
      </c>
      <c r="B7" s="1">
        <f>IFERROR(VLOOKUP('Jul-Sep25MHRequirement'!A7,'Jul25'!$A$5:$L$36,10,FALSE),0)</f>
        <v/>
      </c>
      <c r="C7" s="1">
        <f>'Aug25'!J6</f>
        <v/>
      </c>
      <c r="D7" s="1">
        <f>'Sep25'!J6</f>
        <v/>
      </c>
      <c r="E7" s="1">
        <f>SUM(B7:D7)</f>
        <v/>
      </c>
      <c r="F7" s="1" t="n"/>
      <c r="G7" s="1">
        <f>IFERROR(VLOOKUP('Jul-Sep25MHRequirement'!A7,'Jul25'!$A$5:$L$36,11,FALSE),0)</f>
        <v/>
      </c>
      <c r="H7" s="1">
        <f>IFERROR(VLOOKUP('Jul-Sep25MHRequirement'!A7,'Aug25'!$A$4:$L$36,11,FALSE),0)</f>
        <v/>
      </c>
      <c r="I7" s="1">
        <f>IFERROR(VLOOKUP('Jul-Sep25MHRequirement'!A7,'Sep25'!$A$5:$L$36,11,FALSE),0)</f>
        <v/>
      </c>
      <c r="K7" s="28">
        <f>E7-G7-H7-I7</f>
        <v/>
      </c>
      <c r="N7" s="122">
        <f>M5+N5+O5</f>
        <v/>
      </c>
      <c r="P7" s="85" t="inlineStr">
        <is>
          <t>Total</t>
        </is>
      </c>
      <c r="Q7" s="85">
        <f>SUM(Q4:Q6)</f>
        <v/>
      </c>
    </row>
    <row r="8" hidden="1" ht="14.5" customHeight="1" s="125">
      <c r="A8" s="15">
        <f>'Sep25'!A7</f>
        <v/>
      </c>
      <c r="B8" s="1">
        <f>IFERROR(VLOOKUP('Jul-Sep25MHRequirement'!A8,'Jul25'!$A$5:$L$36,10,FALSE),0)</f>
        <v/>
      </c>
      <c r="C8" s="1">
        <f>'Aug25'!J7</f>
        <v/>
      </c>
      <c r="D8" s="1">
        <f>'Sep25'!J7</f>
        <v/>
      </c>
      <c r="E8" s="1">
        <f>SUM(B8:D8)</f>
        <v/>
      </c>
      <c r="F8" s="1" t="n"/>
      <c r="G8" s="1">
        <f>IFERROR(VLOOKUP('Jul-Sep25MHRequirement'!A8,'Jul25'!$A$5:$L$36,11,FALSE),0)</f>
        <v/>
      </c>
      <c r="H8" s="1">
        <f>IFERROR(VLOOKUP('Jul-Sep25MHRequirement'!A8,'Aug25'!$A$4:$L$36,11,FALSE),0)</f>
        <v/>
      </c>
      <c r="I8" s="1" t="n">
        <v>0</v>
      </c>
      <c r="K8" s="28">
        <f>E8-G8-H8-I8</f>
        <v/>
      </c>
      <c r="P8" s="86" t="n"/>
      <c r="Q8" s="86" t="n"/>
    </row>
    <row r="9" hidden="1" ht="14.5" customHeight="1" s="125">
      <c r="A9" s="15">
        <f>'Sep25'!A8</f>
        <v/>
      </c>
      <c r="B9" s="1">
        <f>IFERROR(VLOOKUP('Jul-Sep25MHRequirement'!A9,'Jul25'!$A$5:$L$36,10,FALSE),0)</f>
        <v/>
      </c>
      <c r="C9" s="1">
        <f>'Aug25'!J8</f>
        <v/>
      </c>
      <c r="D9" s="1">
        <f>'Sep25'!J8</f>
        <v/>
      </c>
      <c r="E9" s="1">
        <f>SUM(B9:D9)</f>
        <v/>
      </c>
      <c r="F9" s="1" t="n"/>
      <c r="G9" s="1">
        <f>IFERROR(VLOOKUP('Jul-Sep25MHRequirement'!A9,'Jul25'!$A$5:$L$36,11,FALSE),0)</f>
        <v/>
      </c>
      <c r="H9" s="1">
        <f>IFERROR(VLOOKUP('Jul-Sep25MHRequirement'!A9,'Aug25'!$A$4:$L$36,11,FALSE),0)</f>
        <v/>
      </c>
      <c r="I9" s="1">
        <f>IFERROR(VLOOKUP('Jul-Sep25MHRequirement'!A9,'Sep25'!$A$5:$L$36,11,FALSE),0)</f>
        <v/>
      </c>
      <c r="K9" s="28">
        <f>E9-G9-H9-I9</f>
        <v/>
      </c>
      <c r="M9" s="83" t="inlineStr">
        <is>
          <t>%8518:</t>
        </is>
      </c>
      <c r="N9" s="88">
        <f>N7/Q7</f>
        <v/>
      </c>
      <c r="O9" s="83" t="n"/>
      <c r="P9" s="83" t="n"/>
      <c r="Q9" s="83" t="n"/>
    </row>
    <row r="10" hidden="1" ht="14.5" customHeight="1" s="125">
      <c r="A10" s="1">
        <f>'Sep25'!A9</f>
        <v/>
      </c>
      <c r="B10" s="1">
        <f>IFERROR(VLOOKUP('Jul-Sep25MHRequirement'!A10,'Jul25'!$A$5:$L$36,10,FALSE),0)</f>
        <v/>
      </c>
      <c r="C10" s="1">
        <f>'Aug25'!J9</f>
        <v/>
      </c>
      <c r="D10" s="1">
        <f>'Sep25'!J9</f>
        <v/>
      </c>
      <c r="E10" s="1">
        <f>SUM(B10:D10)</f>
        <v/>
      </c>
      <c r="F10" s="1" t="n"/>
      <c r="G10" s="1">
        <f>IFERROR(VLOOKUP('Jul-Sep25MHRequirement'!A10,'Jul25'!$A$5:$L$36,11,FALSE),0)</f>
        <v/>
      </c>
      <c r="H10" s="1">
        <f>IFERROR(VLOOKUP('Jul-Sep25MHRequirement'!A10,'Aug25'!$A$4:$L$36,11,FALSE),0)</f>
        <v/>
      </c>
      <c r="I10" s="1">
        <f>IFERROR(VLOOKUP('Jul-Sep25MHRequirement'!A10,'Sep25'!$A$5:$L$36,11,FALSE),0)</f>
        <v/>
      </c>
      <c r="K10" s="28">
        <f>E10-G10-H10-I10</f>
        <v/>
      </c>
      <c r="M10" s="83" t="inlineStr">
        <is>
          <t>%8518 due to non availability of Pjt MH:</t>
        </is>
      </c>
      <c r="N10" s="83" t="n"/>
      <c r="O10" s="83" t="n"/>
      <c r="P10" s="83" t="n"/>
      <c r="Q10" s="83">
        <f>SUM(K5:K7,K9:K44)</f>
        <v/>
      </c>
    </row>
    <row r="11" hidden="1" ht="14.5" customHeight="1" s="125">
      <c r="A11" s="1">
        <f>'Sep25'!A10</f>
        <v/>
      </c>
      <c r="B11" s="1">
        <f>IFERROR(VLOOKUP('Jul-Sep25MHRequirement'!A11,'Jul25'!$A$5:$L$36,10,FALSE),0)</f>
        <v/>
      </c>
      <c r="C11" s="1">
        <f>'Aug25'!J10</f>
        <v/>
      </c>
      <c r="D11" s="1">
        <f>'Sep25'!J10</f>
        <v/>
      </c>
      <c r="E11" s="1">
        <f>SUM(B11:D11)</f>
        <v/>
      </c>
      <c r="F11" s="1" t="n"/>
      <c r="G11" s="1">
        <f>IFERROR(VLOOKUP('Jul-Sep25MHRequirement'!A11,'Jul25'!$A$5:$L$36,11,FALSE),0)</f>
        <v/>
      </c>
      <c r="H11" s="1">
        <f>IFERROR(VLOOKUP('Jul-Sep25MHRequirement'!A11,'Aug25'!$A$4:$L$36,11,FALSE),0)</f>
        <v/>
      </c>
      <c r="I11" s="1">
        <f>IFERROR(VLOOKUP('Jul-Sep25MHRequirement'!A11,'Sep25'!$A$5:$L$36,11,FALSE),0)</f>
        <v/>
      </c>
      <c r="K11" s="28">
        <f>E11-G11-H11-I11</f>
        <v/>
      </c>
      <c r="M11" s="83" t="n"/>
      <c r="N11" s="83" t="n"/>
      <c r="O11" s="83" t="n"/>
      <c r="P11" s="83" t="n"/>
      <c r="Q11" s="88">
        <f>Q10/Q7</f>
        <v/>
      </c>
    </row>
    <row r="12" hidden="1" ht="14.5" customHeight="1" s="125">
      <c r="A12" s="1">
        <f>'Sep25'!A11</f>
        <v/>
      </c>
      <c r="B12" s="1">
        <f>IFERROR(VLOOKUP('Jul-Sep25MHRequirement'!A12,'Jul25'!$A$5:$L$36,10,FALSE),0)</f>
        <v/>
      </c>
      <c r="C12" s="1">
        <f>'Aug25'!J11</f>
        <v/>
      </c>
      <c r="D12" s="1">
        <f>'Sep25'!J11</f>
        <v/>
      </c>
      <c r="E12" s="1">
        <f>SUM(B12:D12)</f>
        <v/>
      </c>
      <c r="F12" s="1" t="n"/>
      <c r="G12" s="1">
        <f>IFERROR(VLOOKUP('Jul-Sep25MHRequirement'!A12,'Jul25'!$A$5:$L$36,11,FALSE),0)</f>
        <v/>
      </c>
      <c r="H12" s="1">
        <f>IFERROR(VLOOKUP('Jul-Sep25MHRequirement'!A12,'Aug25'!$A$4:$L$36,11,FALSE),0)</f>
        <v/>
      </c>
      <c r="I12" s="1">
        <f>IFERROR(VLOOKUP('Jul-Sep25MHRequirement'!A12,'Sep25'!$A$5:$L$36,11,FALSE),0)</f>
        <v/>
      </c>
      <c r="K12" s="28">
        <f>E12-G12-H12-I12</f>
        <v/>
      </c>
      <c r="M12" s="83" t="inlineStr">
        <is>
          <t>%8518 on Ov Hd</t>
        </is>
      </c>
      <c r="N12" s="83" t="n"/>
      <c r="O12" s="83" t="n"/>
      <c r="P12" s="83" t="n"/>
      <c r="Q12" s="89">
        <f>N9-Q11</f>
        <v/>
      </c>
    </row>
    <row r="13" hidden="1" ht="14.5" customHeight="1" s="125">
      <c r="A13" s="1">
        <f>'Sep25'!A12</f>
        <v/>
      </c>
      <c r="B13" s="1">
        <f>IFERROR(VLOOKUP('Jul-Sep25MHRequirement'!A13,'Jul25'!$A$5:$L$36,10,FALSE),0)</f>
        <v/>
      </c>
      <c r="C13" s="1">
        <f>'Aug25'!J12</f>
        <v/>
      </c>
      <c r="D13" s="1">
        <f>'Sep25'!J12</f>
        <v/>
      </c>
      <c r="E13" s="1">
        <f>SUM(B13:D13)</f>
        <v/>
      </c>
      <c r="F13" s="1" t="n"/>
      <c r="G13" s="1">
        <f>IFERROR(VLOOKUP('Jul-Sep25MHRequirement'!A13,'Jul25'!$A$5:$L$36,11,FALSE),0)</f>
        <v/>
      </c>
      <c r="H13" s="1">
        <f>IFERROR(VLOOKUP('Jul-Sep25MHRequirement'!A13,'Aug25'!$A$4:$L$36,11,FALSE),0)</f>
        <v/>
      </c>
      <c r="I13" s="1">
        <f>IFERROR(VLOOKUP('Jul-Sep25MHRequirement'!A13,'Sep25'!$A$5:$L$36,11,FALSE),0)</f>
        <v/>
      </c>
      <c r="K13" s="28">
        <f>E13-G13-H13-I13</f>
        <v/>
      </c>
    </row>
    <row r="14">
      <c r="A14" s="1">
        <f>'Sep25'!A13</f>
        <v/>
      </c>
      <c r="B14" s="1">
        <f>IFERROR(VLOOKUP('Jul-Sep25MHRequirement'!A14,'Jul25'!$A$5:$L$36,10,FALSE),0)</f>
        <v/>
      </c>
      <c r="C14" s="1">
        <f>'Aug25'!J13</f>
        <v/>
      </c>
      <c r="D14" s="1">
        <f>'Sep25'!J13</f>
        <v/>
      </c>
      <c r="E14" s="1">
        <f>SUM(B14:D14)</f>
        <v/>
      </c>
      <c r="F14" s="1" t="n"/>
      <c r="G14" s="1">
        <f>IFERROR(VLOOKUP('Jul-Sep25MHRequirement'!A14,'Jul25'!$A$5:$L$36,11,FALSE),0)</f>
        <v/>
      </c>
      <c r="H14" s="1">
        <f>IFERROR(VLOOKUP('Jul-Sep25MHRequirement'!A14,'Aug25'!$A$4:$L$36,11,FALSE),0)</f>
        <v/>
      </c>
      <c r="I14" s="1">
        <f>IFERROR(VLOOKUP('Jul-Sep25MHRequirement'!A14,'Sep25'!$A$5:$L$36,11,FALSE),0)</f>
        <v/>
      </c>
      <c r="K14" s="28">
        <f>E14-G14-H14-I14</f>
        <v/>
      </c>
    </row>
    <row r="15" hidden="1" ht="14.5" customHeight="1" s="125">
      <c r="A15" s="1">
        <f>'Sep25'!A14</f>
        <v/>
      </c>
      <c r="B15" s="1">
        <f>IFERROR(VLOOKUP('Jul-Sep25MHRequirement'!A15,'Jul25'!$A$5:$L$36,10,FALSE),0)</f>
        <v/>
      </c>
      <c r="C15" s="1">
        <f>'Aug25'!J14</f>
        <v/>
      </c>
      <c r="D15" s="1">
        <f>'Sep25'!J14</f>
        <v/>
      </c>
      <c r="E15" s="1">
        <f>SUM(B15:D15)</f>
        <v/>
      </c>
      <c r="F15" s="1" t="n"/>
      <c r="G15" s="1">
        <f>IFERROR(VLOOKUP('Jul-Sep25MHRequirement'!A15,'Jul25'!$A$5:$L$36,11,FALSE),0)</f>
        <v/>
      </c>
      <c r="H15" s="1">
        <f>IFERROR(VLOOKUP('Jul-Sep25MHRequirement'!A15,'Aug25'!$A$4:$L$36,11,FALSE),0)</f>
        <v/>
      </c>
      <c r="I15" s="1">
        <f>IFERROR(VLOOKUP('Jul-Sep25MHRequirement'!A15,'Sep25'!$A$5:$L$36,11,FALSE),0)</f>
        <v/>
      </c>
      <c r="K15" s="28">
        <f>E15-G15-H15-I15</f>
        <v/>
      </c>
    </row>
    <row r="16">
      <c r="A16" s="1">
        <f>'Sep25'!A15</f>
        <v/>
      </c>
      <c r="B16" s="1">
        <f>IFERROR(VLOOKUP('Jul-Sep25MHRequirement'!A16,'Jul25'!$A$5:$L$36,10,FALSE),0)</f>
        <v/>
      </c>
      <c r="C16" s="1">
        <f>'Aug25'!J15</f>
        <v/>
      </c>
      <c r="D16" s="1">
        <f>'Sep25'!J15</f>
        <v/>
      </c>
      <c r="E16" s="1">
        <f>SUM(B16:D16)</f>
        <v/>
      </c>
      <c r="F16" s="1" t="n"/>
      <c r="G16" s="1">
        <f>IFERROR(VLOOKUP('Jul-Sep25MHRequirement'!A16,'Jul25'!$A$5:$L$36,11,FALSE),0)</f>
        <v/>
      </c>
      <c r="H16" s="1">
        <f>IFERROR(VLOOKUP('Jul-Sep25MHRequirement'!A16,'Aug25'!$A$4:$L$36,11,FALSE),0)</f>
        <v/>
      </c>
      <c r="I16" s="1">
        <f>IFERROR(VLOOKUP('Jul-Sep25MHRequirement'!A16,'Sep25'!$A$5:$L$36,11,FALSE),0)</f>
        <v/>
      </c>
      <c r="K16" s="28">
        <f>E16-G16-H16-I16</f>
        <v/>
      </c>
    </row>
    <row r="17" hidden="1" s="125">
      <c r="A17" s="1">
        <f>'Sep25'!A16</f>
        <v/>
      </c>
      <c r="B17" s="1">
        <f>IFERROR(VLOOKUP('Jul-Sep25MHRequirement'!A17,'Jul25'!$A$5:$L$36,10,FALSE),0)</f>
        <v/>
      </c>
      <c r="C17" s="1">
        <f>'Aug25'!J16</f>
        <v/>
      </c>
      <c r="D17" s="1">
        <f>'Sep25'!J16</f>
        <v/>
      </c>
      <c r="E17" s="1">
        <f>SUM(B17:D17)</f>
        <v/>
      </c>
      <c r="F17" s="1" t="n"/>
      <c r="G17" s="1">
        <f>IFERROR(VLOOKUP('Jul-Sep25MHRequirement'!A17,'Jul25'!$A$5:$L$36,11,FALSE),0)</f>
        <v/>
      </c>
      <c r="H17" s="1">
        <f>IFERROR(VLOOKUP('Jul-Sep25MHRequirement'!A17,'Aug25'!$A$4:$L$36,11,FALSE),0)</f>
        <v/>
      </c>
      <c r="I17" s="1">
        <f>IFERROR(VLOOKUP('Jul-Sep25MHRequirement'!A17,'Sep25'!$A$5:$L$36,11,FALSE),0)</f>
        <v/>
      </c>
      <c r="K17" s="28">
        <f>E17-G17-H17-I17</f>
        <v/>
      </c>
    </row>
    <row r="18" ht="14.5" customHeight="1" s="125">
      <c r="A18" s="1">
        <f>'Sep25'!A17</f>
        <v/>
      </c>
      <c r="B18" s="1">
        <f>IFERROR(VLOOKUP('Jul-Sep25MHRequirement'!A18,'Jul25'!$A$5:$L$36,10,FALSE),0)</f>
        <v/>
      </c>
      <c r="C18" s="1">
        <f>'Aug25'!J17</f>
        <v/>
      </c>
      <c r="D18" s="1">
        <f>'Sep25'!J17</f>
        <v/>
      </c>
      <c r="E18" s="1">
        <f>SUM(B18:D18)</f>
        <v/>
      </c>
      <c r="F18" s="1" t="n"/>
      <c r="G18" s="1">
        <f>IFERROR(VLOOKUP('Jul-Sep25MHRequirement'!A18,'Jul25'!$A$5:$L$36,11,FALSE),0)</f>
        <v/>
      </c>
      <c r="H18" s="1">
        <f>IFERROR(VLOOKUP('Jul-Sep25MHRequirement'!A18,'Aug25'!$A$4:$L$36,11,FALSE),0)</f>
        <v/>
      </c>
      <c r="I18" s="1">
        <f>IFERROR(VLOOKUP('Jul-Sep25MHRequirement'!A18,'Sep25'!$A$5:$L$36,11,FALSE),0)</f>
        <v/>
      </c>
      <c r="K18" s="28">
        <f>E18-G18-H18-I18</f>
        <v/>
      </c>
    </row>
    <row r="19">
      <c r="A19" s="1">
        <f>'Sep25'!A18</f>
        <v/>
      </c>
      <c r="B19" s="1">
        <f>IFERROR(VLOOKUP('Jul-Sep25MHRequirement'!A19,'Jul25'!$A$5:$L$36,10,FALSE),0)</f>
        <v/>
      </c>
      <c r="C19" s="1">
        <f>'Aug25'!J18</f>
        <v/>
      </c>
      <c r="D19" s="1">
        <f>'Sep25'!J18</f>
        <v/>
      </c>
      <c r="E19" s="1">
        <f>SUM(B19:D19)</f>
        <v/>
      </c>
      <c r="F19" s="1" t="n"/>
      <c r="G19" s="1">
        <f>IFERROR(VLOOKUP('Jul-Sep25MHRequirement'!A19,'Jul25'!$A$5:$L$36,11,FALSE),0)</f>
        <v/>
      </c>
      <c r="H19" s="1">
        <f>IFERROR(VLOOKUP('Jul-Sep25MHRequirement'!A19,'Aug25'!$A$4:$L$36,11,FALSE),0)</f>
        <v/>
      </c>
      <c r="I19" s="1">
        <f>IFERROR(VLOOKUP('Jul-Sep25MHRequirement'!A19,'Sep25'!$A$5:$L$36,11,FALSE),0)</f>
        <v/>
      </c>
      <c r="K19" s="28">
        <f>E19-G19-H19-I19</f>
        <v/>
      </c>
    </row>
    <row r="20" hidden="1" ht="14.5" customHeight="1" s="125">
      <c r="A20" s="1">
        <f>'Sep25'!A19</f>
        <v/>
      </c>
      <c r="B20" s="1">
        <f>IFERROR(VLOOKUP('Jul-Sep25MHRequirement'!A20,'Jul25'!$A$5:$L$36,10,FALSE),0)</f>
        <v/>
      </c>
      <c r="C20" s="1">
        <f>'Aug25'!J19</f>
        <v/>
      </c>
      <c r="D20" s="1">
        <f>'Sep25'!J19</f>
        <v/>
      </c>
      <c r="E20" s="1">
        <f>SUM(B20:D20)</f>
        <v/>
      </c>
      <c r="F20" s="1" t="n"/>
      <c r="G20" s="1">
        <f>IFERROR(VLOOKUP('Jul-Sep25MHRequirement'!A20,'Jul25'!$A$5:$L$36,11,FALSE),0)</f>
        <v/>
      </c>
      <c r="H20" s="1">
        <f>IFERROR(VLOOKUP('Jul-Sep25MHRequirement'!A20,'Aug25'!$A$4:$L$36,11,FALSE),0)</f>
        <v/>
      </c>
      <c r="I20" s="1">
        <f>IFERROR(VLOOKUP('Jul-Sep25MHRequirement'!A20,'Sep25'!$A$5:$L$36,11,FALSE),0)</f>
        <v/>
      </c>
      <c r="K20" s="28">
        <f>E20-G20-H20-I20</f>
        <v/>
      </c>
    </row>
    <row r="21" hidden="1" s="125">
      <c r="A21" s="1">
        <f>'Sep25'!A20</f>
        <v/>
      </c>
      <c r="B21" s="1">
        <f>IFERROR(VLOOKUP('Jul-Sep25MHRequirement'!A21,'Jul25'!$A$5:$L$36,10,FALSE),0)</f>
        <v/>
      </c>
      <c r="C21" s="1">
        <f>'Aug25'!J20</f>
        <v/>
      </c>
      <c r="D21" s="1">
        <f>'Sep25'!J20</f>
        <v/>
      </c>
      <c r="E21" s="1">
        <f>SUM(B21:D21)</f>
        <v/>
      </c>
      <c r="F21" s="1" t="n"/>
      <c r="G21" s="1">
        <f>IFERROR(VLOOKUP('Jul-Sep25MHRequirement'!A21,'Jul25'!$A$5:$L$36,11,FALSE),0)</f>
        <v/>
      </c>
      <c r="H21" s="1">
        <f>IFERROR(VLOOKUP('Jul-Sep25MHRequirement'!A21,'Aug25'!$A$4:$L$36,11,FALSE),0)</f>
        <v/>
      </c>
      <c r="I21" s="1">
        <f>IFERROR(VLOOKUP('Jul-Sep25MHRequirement'!A21,'Sep25'!$A$5:$L$36,11,FALSE),0)</f>
        <v/>
      </c>
      <c r="K21" s="28">
        <f>E21-G21-H21-I21</f>
        <v/>
      </c>
    </row>
    <row r="22" hidden="1" s="125">
      <c r="A22" s="1">
        <f>'Sep25'!A21</f>
        <v/>
      </c>
      <c r="B22" s="1">
        <f>IFERROR(VLOOKUP('Jul-Sep25MHRequirement'!A22,'Jul25'!$A$5:$L$36,10,FALSE),0)</f>
        <v/>
      </c>
      <c r="C22" s="1">
        <f>'Aug25'!J21</f>
        <v/>
      </c>
      <c r="D22" s="1">
        <f>'Sep25'!J21</f>
        <v/>
      </c>
      <c r="E22" s="1">
        <f>SUM(B22:D22)</f>
        <v/>
      </c>
      <c r="F22" s="1" t="n"/>
      <c r="G22" s="1">
        <f>IFERROR(VLOOKUP('Jul-Sep25MHRequirement'!A22,'Jul25'!$A$5:$L$36,11,FALSE),0)</f>
        <v/>
      </c>
      <c r="H22" s="1">
        <f>IFERROR(VLOOKUP('Jul-Sep25MHRequirement'!A22,'Aug25'!$A$4:$L$36,11,FALSE),0)</f>
        <v/>
      </c>
      <c r="I22" s="1">
        <f>IFERROR(VLOOKUP('Jul-Sep25MHRequirement'!A22,'Sep25'!$A$5:$L$36,11,FALSE),0)</f>
        <v/>
      </c>
      <c r="K22" s="28">
        <f>E22-G22-H22-I22</f>
        <v/>
      </c>
    </row>
    <row r="23" ht="14.5" customHeight="1" s="125">
      <c r="A23" s="1">
        <f>'Sep25'!A22</f>
        <v/>
      </c>
      <c r="B23" s="1">
        <f>IFERROR(VLOOKUP('Jul-Sep25MHRequirement'!A23,'Jul25'!$A$5:$L$36,10,FALSE),0)</f>
        <v/>
      </c>
      <c r="C23" s="1">
        <f>'Aug25'!J22</f>
        <v/>
      </c>
      <c r="D23" s="1">
        <f>'Sep25'!J22</f>
        <v/>
      </c>
      <c r="E23" s="1">
        <f>SUM(B23:D23)</f>
        <v/>
      </c>
      <c r="F23" s="1" t="n"/>
      <c r="G23" s="1">
        <f>IFERROR(VLOOKUP('Jul-Sep25MHRequirement'!A23,'Jul25'!$A$5:$L$36,11,FALSE),0)</f>
        <v/>
      </c>
      <c r="H23" s="1">
        <f>IFERROR(VLOOKUP('Jul-Sep25MHRequirement'!A23,'Aug25'!$A$4:$L$36,11,FALSE),0)</f>
        <v/>
      </c>
      <c r="I23" s="1">
        <f>IFERROR(VLOOKUP('Jul-Sep25MHRequirement'!A23,'Sep25'!$A$5:$L$36,11,FALSE),0)</f>
        <v/>
      </c>
      <c r="K23" s="28">
        <f>E23-G23-H23-I23</f>
        <v/>
      </c>
    </row>
    <row r="24" hidden="1" s="125">
      <c r="A24" s="1">
        <f>'Sep25'!A23</f>
        <v/>
      </c>
      <c r="B24" s="1">
        <f>IFERROR(VLOOKUP('Jul-Sep25MHRequirement'!A24,'Jul25'!$A$5:$L$36,10,FALSE),0)</f>
        <v/>
      </c>
      <c r="C24" s="1">
        <f>'Aug25'!J23</f>
        <v/>
      </c>
      <c r="D24" s="1">
        <f>'Sep25'!J23</f>
        <v/>
      </c>
      <c r="E24" s="1">
        <f>SUM(B24:D24)</f>
        <v/>
      </c>
      <c r="F24" s="1" t="n"/>
      <c r="G24" s="1">
        <f>IFERROR(VLOOKUP('Jul-Sep25MHRequirement'!A24,'Jul25'!$A$5:$L$36,11,FALSE),0)</f>
        <v/>
      </c>
      <c r="H24" s="1">
        <f>IFERROR(VLOOKUP('Jul-Sep25MHRequirement'!A24,'Aug25'!$A$4:$L$36,11,FALSE),0)</f>
        <v/>
      </c>
      <c r="I24" s="1">
        <f>IFERROR(VLOOKUP('Jul-Sep25MHRequirement'!A24,'Sep25'!$A$5:$L$36,11,FALSE),0)</f>
        <v/>
      </c>
      <c r="K24" s="28">
        <f>E24-G24-H24-I24</f>
        <v/>
      </c>
    </row>
    <row r="25" hidden="1" ht="14.5" customHeight="1" s="125">
      <c r="A25" s="1">
        <f>'Sep25'!A24</f>
        <v/>
      </c>
      <c r="B25" s="1">
        <f>IFERROR(VLOOKUP('Jul-Sep25MHRequirement'!A25,'Jul25'!$A$5:$L$36,10,FALSE),0)</f>
        <v/>
      </c>
      <c r="C25" s="1">
        <f>'Aug25'!J24</f>
        <v/>
      </c>
      <c r="D25" s="1">
        <f>'Sep25'!J24</f>
        <v/>
      </c>
      <c r="E25" s="1">
        <f>SUM(B25:D25)</f>
        <v/>
      </c>
      <c r="F25" s="1" t="n"/>
      <c r="G25" s="1">
        <f>IFERROR(VLOOKUP('Jul-Sep25MHRequirement'!A25,'Jul25'!$A$5:$L$36,11,FALSE),0)</f>
        <v/>
      </c>
      <c r="H25" s="1">
        <f>IFERROR(VLOOKUP('Jul-Sep25MHRequirement'!A25,'Aug25'!$A$4:$L$36,11,FALSE),0)</f>
        <v/>
      </c>
      <c r="I25" s="1">
        <f>IFERROR(VLOOKUP('Jul-Sep25MHRequirement'!A25,'Sep25'!$A$5:$L$36,11,FALSE),0)</f>
        <v/>
      </c>
      <c r="K25" s="28">
        <f>E25-G25-H25-I25</f>
        <v/>
      </c>
    </row>
    <row r="26" hidden="1" ht="14.5" customHeight="1" s="125">
      <c r="A26" s="1">
        <f>'Sep25'!A25</f>
        <v/>
      </c>
      <c r="B26" s="1">
        <f>IFERROR(VLOOKUP('Jul-Sep25MHRequirement'!A26,'Jul25'!$A$5:$L$36,10,FALSE),0)</f>
        <v/>
      </c>
      <c r="C26" s="1">
        <f>'Aug25'!J25</f>
        <v/>
      </c>
      <c r="D26" s="1">
        <f>'Sep25'!J25</f>
        <v/>
      </c>
      <c r="E26" s="1">
        <f>SUM(B26:D26)</f>
        <v/>
      </c>
      <c r="F26" s="1" t="n"/>
      <c r="G26" s="1">
        <f>IFERROR(VLOOKUP('Jul-Sep25MHRequirement'!A26,'Jul25'!$A$5:$L$36,11,FALSE),0)</f>
        <v/>
      </c>
      <c r="H26" s="1">
        <f>IFERROR(VLOOKUP('Jul-Sep25MHRequirement'!A26,'Aug25'!$A$4:$L$36,11,FALSE),0)</f>
        <v/>
      </c>
      <c r="I26" s="1">
        <f>IFERROR(VLOOKUP('Jul-Sep25MHRequirement'!A26,'Sep25'!$A$5:$L$36,11,FALSE),0)</f>
        <v/>
      </c>
      <c r="K26" s="28">
        <f>E26-G26-H26-I26</f>
        <v/>
      </c>
    </row>
    <row r="27" hidden="1" ht="14.5" customHeight="1" s="125">
      <c r="A27" s="1">
        <f>'Sep25'!A26</f>
        <v/>
      </c>
      <c r="B27" s="1">
        <f>IFERROR(VLOOKUP('Jul-Sep25MHRequirement'!A27,'Jul25'!$A$5:$L$36,10,FALSE),0)</f>
        <v/>
      </c>
      <c r="C27" s="1">
        <f>'Aug25'!J26</f>
        <v/>
      </c>
      <c r="D27" s="1">
        <f>'Sep25'!J26</f>
        <v/>
      </c>
      <c r="E27" s="1">
        <f>SUM(B27:D27)</f>
        <v/>
      </c>
      <c r="F27" s="1" t="n"/>
      <c r="G27" s="1">
        <f>IFERROR(VLOOKUP('Jul-Sep25MHRequirement'!A27,'Jul25'!$A$5:$L$36,11,FALSE),0)</f>
        <v/>
      </c>
      <c r="H27" s="1">
        <f>IFERROR(VLOOKUP('Jul-Sep25MHRequirement'!A27,'Aug25'!$A$4:$L$36,11,FALSE),0)</f>
        <v/>
      </c>
      <c r="I27" s="1">
        <f>IFERROR(VLOOKUP('Jul-Sep25MHRequirement'!A27,'Sep25'!$A$5:$L$36,11,FALSE),0)</f>
        <v/>
      </c>
      <c r="K27" s="28">
        <f>E27-G27-H27-I27</f>
        <v/>
      </c>
    </row>
    <row r="28" hidden="1" ht="14.5" customHeight="1" s="125">
      <c r="A28" s="1">
        <f>'Sep25'!A27</f>
        <v/>
      </c>
      <c r="B28" s="1">
        <f>IFERROR(VLOOKUP('Jul-Sep25MHRequirement'!A28,'Jul25'!$A$5:$L$36,10,FALSE),0)</f>
        <v/>
      </c>
      <c r="C28" s="1">
        <f>'Aug25'!J27</f>
        <v/>
      </c>
      <c r="D28" s="1">
        <f>'Sep25'!J27</f>
        <v/>
      </c>
      <c r="E28" s="1">
        <f>SUM(B28:D28)</f>
        <v/>
      </c>
      <c r="F28" s="1" t="n"/>
      <c r="G28" s="1">
        <f>IFERROR(VLOOKUP('Jul-Sep25MHRequirement'!A28,'Jul25'!$A$5:$L$36,11,FALSE),0)</f>
        <v/>
      </c>
      <c r="H28" s="1">
        <f>IFERROR(VLOOKUP('Jul-Sep25MHRequirement'!A28,'Aug25'!$A$4:$L$36,11,FALSE),0)</f>
        <v/>
      </c>
      <c r="I28" s="1">
        <f>IFERROR(VLOOKUP('Jul-Sep25MHRequirement'!A28,'Sep25'!$A$5:$L$36,11,FALSE),0)</f>
        <v/>
      </c>
      <c r="K28" s="28">
        <f>E28-G28-H28-I28</f>
        <v/>
      </c>
    </row>
    <row r="29" hidden="1" s="125">
      <c r="A29" s="1">
        <f>'Sep25'!A28</f>
        <v/>
      </c>
      <c r="B29" s="1">
        <f>IFERROR(VLOOKUP('Jul-Sep25MHRequirement'!A29,'Jul25'!$A$5:$L$36,10,FALSE),0)</f>
        <v/>
      </c>
      <c r="C29" s="1">
        <f>'Aug25'!J28</f>
        <v/>
      </c>
      <c r="D29" s="1">
        <f>'Sep25'!J28</f>
        <v/>
      </c>
      <c r="E29" s="1">
        <f>SUM(B29:D29)</f>
        <v/>
      </c>
      <c r="F29" s="1" t="n"/>
      <c r="G29" s="1">
        <f>IFERROR(VLOOKUP('Jul-Sep25MHRequirement'!A29,'Jul25'!$A$5:$L$36,11,FALSE),0)</f>
        <v/>
      </c>
      <c r="H29" s="1">
        <f>IFERROR(VLOOKUP('Jul-Sep25MHRequirement'!A29,'Aug25'!$A$4:$L$36,11,FALSE),0)</f>
        <v/>
      </c>
      <c r="I29" s="1">
        <f>IFERROR(VLOOKUP('Jul-Sep25MHRequirement'!A29,'Sep25'!$A$5:$L$36,11,FALSE),0)</f>
        <v/>
      </c>
      <c r="K29" s="28">
        <f>E29-G29-H29-I29</f>
        <v/>
      </c>
    </row>
    <row r="30" hidden="1" s="125">
      <c r="A30" s="1">
        <f>'Sep25'!A29</f>
        <v/>
      </c>
      <c r="B30" s="1">
        <f>IFERROR(VLOOKUP('Jul-Sep25MHRequirement'!A30,'Jul25'!$A$5:$L$36,10,FALSE),0)</f>
        <v/>
      </c>
      <c r="C30" s="1">
        <f>'Aug25'!J29</f>
        <v/>
      </c>
      <c r="D30" s="1">
        <f>'Sep25'!J29</f>
        <v/>
      </c>
      <c r="E30" s="1">
        <f>SUM(B30:D30)</f>
        <v/>
      </c>
      <c r="F30" s="1" t="n"/>
      <c r="G30" s="1">
        <f>IFERROR(VLOOKUP('Jul-Sep25MHRequirement'!A30,'Jul25'!$A$5:$L$36,11,FALSE),0)</f>
        <v/>
      </c>
      <c r="H30" s="1">
        <f>IFERROR(VLOOKUP('Jul-Sep25MHRequirement'!A30,'Aug25'!$A$4:$L$36,11,FALSE),0)</f>
        <v/>
      </c>
      <c r="I30" s="1">
        <f>IFERROR(VLOOKUP('Jul-Sep25MHRequirement'!A30,'Sep25'!$A$5:$L$36,11,FALSE),0)</f>
        <v/>
      </c>
      <c r="K30" s="28">
        <f>E30-G30-H30-I30</f>
        <v/>
      </c>
    </row>
    <row r="31" hidden="1" ht="14.5" customHeight="1" s="125">
      <c r="A31" s="1">
        <f>'Sep25'!A30</f>
        <v/>
      </c>
      <c r="B31" s="1">
        <f>IFERROR(VLOOKUP('Jul-Sep25MHRequirement'!A31,'Jul25'!$A$5:$L$36,10,FALSE),0)</f>
        <v/>
      </c>
      <c r="C31" s="1">
        <f>'Aug25'!J30</f>
        <v/>
      </c>
      <c r="D31" s="1">
        <f>'Sep25'!J30</f>
        <v/>
      </c>
      <c r="E31" s="1">
        <f>SUM(B31:D31)</f>
        <v/>
      </c>
      <c r="F31" s="1" t="n"/>
      <c r="G31" s="1">
        <f>IFERROR(VLOOKUP('Jul-Sep25MHRequirement'!A31,'Jul25'!$A$5:$L$36,11,FALSE),0)</f>
        <v/>
      </c>
      <c r="H31" s="1">
        <f>IFERROR(VLOOKUP('Jul-Sep25MHRequirement'!A31,'Aug25'!$A$4:$L$36,11,FALSE),0)</f>
        <v/>
      </c>
      <c r="I31" s="1">
        <f>IFERROR(VLOOKUP('Jul-Sep25MHRequirement'!A31,'Sep25'!$A$5:$L$36,11,FALSE),0)</f>
        <v/>
      </c>
      <c r="K31" s="28">
        <f>E31-G31-H31-I31</f>
        <v/>
      </c>
    </row>
    <row r="32" hidden="1" ht="14.5" customHeight="1" s="125">
      <c r="A32" s="1">
        <f>'Sep25'!A31</f>
        <v/>
      </c>
      <c r="B32" s="1">
        <f>IFERROR(VLOOKUP('Jul-Sep25MHRequirement'!A32,'Jul25'!$A$5:$L$36,10,FALSE),0)</f>
        <v/>
      </c>
      <c r="C32" s="1">
        <f>'Aug25'!J31</f>
        <v/>
      </c>
      <c r="D32" s="1">
        <f>'Sep25'!J31</f>
        <v/>
      </c>
      <c r="E32" s="1">
        <f>SUM(B32:D32)</f>
        <v/>
      </c>
      <c r="F32" s="1" t="n"/>
      <c r="G32" s="1">
        <f>IFERROR(VLOOKUP('Jul-Sep25MHRequirement'!A32,'Jul25'!$A$5:$L$36,11,FALSE),0)</f>
        <v/>
      </c>
      <c r="H32" s="1">
        <f>IFERROR(VLOOKUP('Jul-Sep25MHRequirement'!A32,'Aug25'!$A$4:$L$36,11,FALSE),0)</f>
        <v/>
      </c>
      <c r="I32" s="1">
        <f>IFERROR(VLOOKUP('Jul-Sep25MHRequirement'!A32,'Sep25'!$A$5:$L$36,11,FALSE),0)</f>
        <v/>
      </c>
      <c r="K32" s="28">
        <f>E32-G32-H32-I32</f>
        <v/>
      </c>
    </row>
    <row r="33" hidden="1" ht="14.5" customHeight="1" s="125">
      <c r="A33" s="1">
        <f>'Sep25'!A32</f>
        <v/>
      </c>
      <c r="B33" s="1">
        <f>IFERROR(VLOOKUP('Jul-Sep25MHRequirement'!A33,'Jul25'!$A$5:$L$36,10,FALSE),0)</f>
        <v/>
      </c>
      <c r="C33" s="1">
        <f>'Aug25'!J32</f>
        <v/>
      </c>
      <c r="D33" s="1">
        <f>'Sep25'!J32</f>
        <v/>
      </c>
      <c r="E33" s="1">
        <f>SUM(B33:D33)</f>
        <v/>
      </c>
      <c r="F33" s="1" t="n"/>
      <c r="G33" s="1">
        <f>IFERROR(VLOOKUP('Jul-Sep25MHRequirement'!A33,'Jul25'!$A$5:$L$36,11,FALSE),0)</f>
        <v/>
      </c>
      <c r="H33" s="1">
        <f>IFERROR(VLOOKUP('Jul-Sep25MHRequirement'!A33,'Aug25'!$A$4:$L$36,11,FALSE),0)</f>
        <v/>
      </c>
      <c r="I33" s="1">
        <f>IFERROR(VLOOKUP('Jul-Sep25MHRequirement'!A33,'Sep25'!$A$5:$L$36,11,FALSE),0)</f>
        <v/>
      </c>
      <c r="K33" s="28">
        <f>E33-G33-H33-I33</f>
        <v/>
      </c>
    </row>
    <row r="34" hidden="1" s="125">
      <c r="A34" s="1">
        <f>'Sep25'!A33</f>
        <v/>
      </c>
      <c r="B34" s="1">
        <f>IFERROR(VLOOKUP('Jul-Sep25MHRequirement'!A34,'Jul25'!$A$5:$L$43,10,FALSE),0)</f>
        <v/>
      </c>
      <c r="C34" s="1">
        <f>'Aug25'!J33</f>
        <v/>
      </c>
      <c r="D34" s="1">
        <f>'Sep25'!J33</f>
        <v/>
      </c>
      <c r="E34" s="1">
        <f>SUM(B34:D34)</f>
        <v/>
      </c>
      <c r="F34" s="1" t="n"/>
      <c r="G34" s="1">
        <f>IFERROR(VLOOKUP('Jul-Sep25MHRequirement'!A34,'Jul25'!$A$5:$L$36,11,FALSE),0)</f>
        <v/>
      </c>
      <c r="H34" s="1">
        <f>IFERROR(VLOOKUP('Jul-Sep25MHRequirement'!A34,'Aug25'!$A$4:$L$36,11,FALSE),0)</f>
        <v/>
      </c>
      <c r="I34" s="1">
        <f>IFERROR(VLOOKUP('Jul-Sep25MHRequirement'!A34,'Sep25'!$A$5:$L$36,11,FALSE),0)</f>
        <v/>
      </c>
      <c r="K34" s="28">
        <f>E34-G34-H34-I34</f>
        <v/>
      </c>
    </row>
    <row r="35" hidden="1" ht="14.5" customHeight="1" s="125">
      <c r="A35" s="1">
        <f>'Sep25'!A34</f>
        <v/>
      </c>
      <c r="B35" s="1">
        <f>IFERROR(VLOOKUP('Jul-Sep25MHRequirement'!A35,'Jul25'!$A$5:$L$43,10,FALSE),0)</f>
        <v/>
      </c>
      <c r="C35" s="1">
        <f>'Aug25'!J34</f>
        <v/>
      </c>
      <c r="D35" s="1">
        <f>'Sep25'!J34</f>
        <v/>
      </c>
      <c r="E35" s="1">
        <f>SUM(B35:D35)</f>
        <v/>
      </c>
      <c r="F35" s="1" t="n"/>
      <c r="G35" s="1">
        <f>IFERROR(VLOOKUP('Jul-Sep25MHRequirement'!A35,'Jul25'!$A$5:$L$36,11,FALSE),0)</f>
        <v/>
      </c>
      <c r="H35" s="1">
        <f>IFERROR(VLOOKUP('Jul-Sep25MHRequirement'!A35,'Aug25'!$A$4:$L$36,11,FALSE),0)</f>
        <v/>
      </c>
      <c r="I35" s="1">
        <f>IFERROR(VLOOKUP('Jul-Sep25MHRequirement'!A35,'Sep25'!$A$5:$L$36,11,FALSE),0)</f>
        <v/>
      </c>
      <c r="K35" s="28">
        <f>E35-G35-H35-I35</f>
        <v/>
      </c>
    </row>
    <row r="36" hidden="1" ht="14.5" customHeight="1" s="125">
      <c r="A36" s="1">
        <f>'Sep25'!A35</f>
        <v/>
      </c>
      <c r="B36" s="1">
        <f>IFERROR(VLOOKUP('Jul-Sep25MHRequirement'!A36,'Jul25'!$A$5:$L$43,10,FALSE),0)</f>
        <v/>
      </c>
      <c r="C36" s="1">
        <f>'Aug25'!J35</f>
        <v/>
      </c>
      <c r="D36" s="1">
        <f>'Sep25'!J35</f>
        <v/>
      </c>
      <c r="E36" s="1">
        <f>SUM(B36:D36)</f>
        <v/>
      </c>
      <c r="F36" s="1" t="n"/>
      <c r="G36" s="1">
        <f>IFERROR(VLOOKUP('Jul-Sep25MHRequirement'!A36,'Jul25'!$A$5:$L$36,11,FALSE),0)</f>
        <v/>
      </c>
      <c r="H36" s="1">
        <f>IFERROR(VLOOKUP('Jul-Sep25MHRequirement'!A36,'Aug25'!$A$4:$L$36,11,FALSE),0)</f>
        <v/>
      </c>
      <c r="I36" s="1">
        <f>IFERROR(VLOOKUP('Jul-Sep25MHRequirement'!A36,'Sep25'!$A$5:$L$36,11,FALSE),0)</f>
        <v/>
      </c>
      <c r="K36" s="28">
        <f>E36-G36-H36-I36</f>
        <v/>
      </c>
    </row>
    <row r="37" hidden="1" s="125">
      <c r="A37" s="1">
        <f>'Sep25'!A36</f>
        <v/>
      </c>
      <c r="B37" s="1">
        <f>IFERROR(VLOOKUP('Jul-Sep25MHRequirement'!A37,'Jul25'!$A$5:$L$43,10,FALSE),0)</f>
        <v/>
      </c>
      <c r="C37" s="1">
        <f>'Aug25'!J36</f>
        <v/>
      </c>
      <c r="D37" s="1">
        <f>'Sep25'!J36</f>
        <v/>
      </c>
      <c r="E37" s="1">
        <f>SUM(B37:D37)</f>
        <v/>
      </c>
      <c r="F37" s="1" t="n"/>
      <c r="G37" s="1">
        <f>IFERROR(VLOOKUP('Jul-Sep25MHRequirement'!A37,'Jul25'!$A$5:$L$36,11,FALSE),0)</f>
        <v/>
      </c>
      <c r="H37" s="1">
        <f>IFERROR(VLOOKUP('Jul-Sep25MHRequirement'!A37,'Aug25'!$A$4:$L$36,11,FALSE),0)</f>
        <v/>
      </c>
      <c r="I37" s="1">
        <f>IFERROR(VLOOKUP('Jul-Sep25MHRequirement'!A37,'Sep25'!$A$5:$L$36,11,FALSE),0)</f>
        <v/>
      </c>
      <c r="K37" s="28">
        <f>E37-G37-H37-I37</f>
        <v/>
      </c>
    </row>
    <row r="38" hidden="1" s="125">
      <c r="A38" s="1">
        <f>'Sep25'!A37</f>
        <v/>
      </c>
      <c r="B38" s="1">
        <f>IFERROR(VLOOKUP('Jul-Sep25MHRequirement'!A38,'Jul25'!$A$5:$L$43,10,FALSE),0)</f>
        <v/>
      </c>
      <c r="C38" s="1">
        <f>'Aug25'!J37</f>
        <v/>
      </c>
      <c r="D38" s="1">
        <f>'Sep25'!J37</f>
        <v/>
      </c>
      <c r="E38" s="1">
        <f>SUM(B38:D38)</f>
        <v/>
      </c>
      <c r="F38" s="1" t="n"/>
      <c r="G38" s="1">
        <f>IFERROR(VLOOKUP('Jul-Sep25MHRequirement'!A38,'Jul25'!$A$5:$L$36,11,FALSE),0)</f>
        <v/>
      </c>
      <c r="H38" s="1">
        <f>IFERROR(VLOOKUP('Jul-Sep25MHRequirement'!A38,'Aug25'!$A$4:$L$36,11,FALSE),0)</f>
        <v/>
      </c>
      <c r="I38" s="1">
        <f>IFERROR(VLOOKUP('Jul-Sep25MHRequirement'!A38,'Sep25'!$A$5:$L$44,11,FALSE),0)</f>
        <v/>
      </c>
      <c r="K38" s="28">
        <f>E38-G38-H38-I38</f>
        <v/>
      </c>
    </row>
    <row r="39" hidden="1" s="125">
      <c r="A39" s="1">
        <f>'Sep25'!A38</f>
        <v/>
      </c>
      <c r="B39" s="1">
        <f>IFERROR(VLOOKUP('Jul-Sep25MHRequirement'!A39,'Jul25'!$A$5:$L$43,10,FALSE),0)</f>
        <v/>
      </c>
      <c r="C39" s="1">
        <f>'Aug25'!J38</f>
        <v/>
      </c>
      <c r="D39" s="1">
        <f>'Sep25'!J38</f>
        <v/>
      </c>
      <c r="E39" s="1">
        <f>SUM(B39:D39)</f>
        <v/>
      </c>
      <c r="F39" s="1" t="n"/>
      <c r="G39" s="1">
        <f>IFERROR(VLOOKUP('Jul-Sep25MHRequirement'!A39,'Jul25'!$A$5:$L$36,11,FALSE),0)</f>
        <v/>
      </c>
      <c r="H39" s="1">
        <f>IFERROR(VLOOKUP('Jul-Sep25MHRequirement'!A39,'Aug25'!$A$4:$L$36,11,FALSE),0)</f>
        <v/>
      </c>
      <c r="I39" s="1">
        <f>IFERROR(VLOOKUP('Jul-Sep25MHRequirement'!A39,'Sep25'!$A$5:$L$44,11,FALSE),0)</f>
        <v/>
      </c>
      <c r="K39" s="28">
        <f>E39-G39-H39-I39</f>
        <v/>
      </c>
    </row>
    <row r="40" hidden="1" s="125">
      <c r="A40" s="1">
        <f>'Sep25'!A39</f>
        <v/>
      </c>
      <c r="B40" s="1">
        <f>IFERROR(VLOOKUP('Jul-Sep25MHRequirement'!A40,'Jul25'!$A$5:$L$43,10,FALSE),0)</f>
        <v/>
      </c>
      <c r="C40" s="1">
        <f>'Aug25'!J39</f>
        <v/>
      </c>
      <c r="D40" s="1">
        <f>'Sep25'!J39</f>
        <v/>
      </c>
      <c r="E40" s="1">
        <f>SUM(B40:D40)</f>
        <v/>
      </c>
      <c r="F40" s="1" t="n"/>
      <c r="G40" s="1">
        <f>IFERROR(VLOOKUP('Jul-Sep25MHRequirement'!A40,'Jul25'!$A$5:$L$36,11,FALSE),0)</f>
        <v/>
      </c>
      <c r="H40" s="1">
        <f>IFERROR(VLOOKUP('Jul-Sep25MHRequirement'!A40,'Aug25'!$A$4:$L$36,11,FALSE),0)</f>
        <v/>
      </c>
      <c r="I40" s="1">
        <f>IFERROR(VLOOKUP('Jul-Sep25MHRequirement'!A40,'Sep25'!$A$5:$L$44,11,FALSE),0)</f>
        <v/>
      </c>
      <c r="K40" s="28">
        <f>E40-G40-H40-I40</f>
        <v/>
      </c>
    </row>
    <row r="41" hidden="1" s="125">
      <c r="A41" s="1">
        <f>'Sep25'!A40</f>
        <v/>
      </c>
      <c r="B41" s="1">
        <f>IFERROR(VLOOKUP('Jul-Sep25MHRequirement'!A41,'Jul25'!$A$5:$L$43,10,FALSE),0)</f>
        <v/>
      </c>
      <c r="C41" s="1">
        <f>'Aug25'!J40</f>
        <v/>
      </c>
      <c r="D41" s="1">
        <f>'Sep25'!J40</f>
        <v/>
      </c>
      <c r="E41" s="1">
        <f>SUM(B41:D41)</f>
        <v/>
      </c>
      <c r="F41" s="1" t="n"/>
      <c r="G41" s="1">
        <f>IFERROR(VLOOKUP('Jul-Sep25MHRequirement'!A41,'Jul25'!$A$5:$L$43,11,FALSE),0)</f>
        <v/>
      </c>
      <c r="H41" s="1">
        <f>IFERROR(VLOOKUP('Jul-Sep25MHRequirement'!A41,'Aug25'!$A$4:$L$36,11,FALSE),0)</f>
        <v/>
      </c>
      <c r="I41" s="1">
        <f>IFERROR(VLOOKUP('Jul-Sep25MHRequirement'!A41,'Sep25'!$A$5:$L$44,11,FALSE),0)</f>
        <v/>
      </c>
      <c r="K41" s="28">
        <f>E41-G41-H41-I41</f>
        <v/>
      </c>
    </row>
    <row r="42" hidden="1" s="125">
      <c r="A42" s="1" t="inlineStr">
        <is>
          <t>B904</t>
        </is>
      </c>
      <c r="B42" s="1">
        <f>IFERROR(VLOOKUP('Jul-Sep25MHRequirement'!A42,'Jul25'!$A$5:$L$43,10,FALSE),0)</f>
        <v/>
      </c>
      <c r="C42" s="1">
        <f>'Aug25'!J41</f>
        <v/>
      </c>
      <c r="D42" s="1">
        <f>'Sep25'!J41</f>
        <v/>
      </c>
      <c r="E42" s="1">
        <f>SUM(B42:D42)</f>
        <v/>
      </c>
      <c r="F42" s="1" t="n"/>
      <c r="G42" s="1">
        <f>IFERROR(VLOOKUP('Jul-Sep25MHRequirement'!A42,'Jul25'!$A$5:$L$43,11,FALSE),0)</f>
        <v/>
      </c>
      <c r="H42" s="1">
        <f>IFERROR(VLOOKUP('Jul-Sep25MHRequirement'!A42,'Aug25'!$A$4:$L$36,11,FALSE),0)</f>
        <v/>
      </c>
      <c r="I42" s="1">
        <f>IFERROR(VLOOKUP('Jul-Sep25MHRequirement'!A42,'Sep25'!$A$5:$L$44,11,FALSE),0)</f>
        <v/>
      </c>
      <c r="K42" s="28">
        <f>E42-G42-H42-I42</f>
        <v/>
      </c>
    </row>
    <row r="43" hidden="1" s="125">
      <c r="A43" s="1" t="inlineStr">
        <is>
          <t>B933</t>
        </is>
      </c>
      <c r="B43" s="1">
        <f>IFERROR(VLOOKUP('Jul-Sep25MHRequirement'!A43,'Jul25'!$A$5:$L$43,10,FALSE),0)</f>
        <v/>
      </c>
      <c r="C43" s="1">
        <f>'Aug25'!J42</f>
        <v/>
      </c>
      <c r="D43" s="1">
        <f>'Sep25'!J42</f>
        <v/>
      </c>
      <c r="E43" s="1">
        <f>SUM(B43:D43)</f>
        <v/>
      </c>
      <c r="F43" s="1" t="n"/>
      <c r="G43" s="1">
        <f>IFERROR(VLOOKUP('Jul-Sep25MHRequirement'!A43,'Jul25'!$A$5:$L$44,11,FALSE),0)</f>
        <v/>
      </c>
      <c r="H43" s="1">
        <f>IFERROR(VLOOKUP('Jul-Sep25MHRequirement'!A43,'Aug25'!$A$4:$L$44,11,FALSE),0)</f>
        <v/>
      </c>
      <c r="I43" s="1">
        <f>IFERROR(VLOOKUP('Jul-Sep25MHRequirement'!A43,'Sep25'!$A$5:$L$44,11,FALSE),0)</f>
        <v/>
      </c>
      <c r="K43" s="28">
        <f>E43-G43-H43-I43</f>
        <v/>
      </c>
    </row>
    <row r="44" hidden="1" s="125">
      <c r="A44" s="1" t="inlineStr">
        <is>
          <t>C007</t>
        </is>
      </c>
      <c r="B44" s="1">
        <f>IFERROR(VLOOKUP('Jul-Sep25MHRequirement'!A44,'Jul25'!$A$5:$L$43,10,FALSE),0)</f>
        <v/>
      </c>
      <c r="C44" s="1">
        <f>'Aug25'!J43</f>
        <v/>
      </c>
      <c r="D44" s="1">
        <f>'Sep25'!J43</f>
        <v/>
      </c>
      <c r="E44" s="1">
        <f>SUM(B44:D44)</f>
        <v/>
      </c>
      <c r="F44" s="1" t="n"/>
      <c r="G44" s="1">
        <f>IFERROR(VLOOKUP('Jul-Sep25MHRequirement'!A44,'Jul25'!$A$5:$L$44,11,FALSE),0)</f>
        <v/>
      </c>
      <c r="H44" s="1">
        <f>IFERROR(VLOOKUP('Jul-Sep25MHRequirement'!A44,'Aug25'!$A$4:$L$44,11,FALSE),0)</f>
        <v/>
      </c>
      <c r="I44" s="1">
        <f>IFERROR(VLOOKUP('Jul-Sep25MHRequirement'!A44,'Sep25'!$A$5:$L$44,11,FALSE),0)</f>
        <v/>
      </c>
      <c r="K44" s="28">
        <f>E44-G44-H44-I44</f>
        <v/>
      </c>
    </row>
    <row r="45">
      <c r="P45" t="inlineStr">
        <is>
          <t xml:space="preserve"> </t>
        </is>
      </c>
    </row>
    <row r="46">
      <c r="A46" t="inlineStr">
        <is>
          <t>Total:</t>
        </is>
      </c>
      <c r="E46" s="122">
        <f>SUM(E5:E44)</f>
        <v/>
      </c>
      <c r="K46" s="83">
        <f>SUM(K5:K44)</f>
        <v/>
      </c>
    </row>
  </sheetData>
  <autoFilter ref="A3:Q44">
    <filterColumn colId="0" hiddenButton="0" showButton="1">
      <filters>
        <filter val="B224"/>
        <filter val="B269"/>
        <filter val="B297"/>
        <filter val="B302"/>
        <filter val="B414"/>
      </filters>
    </filterColumn>
    <filterColumn colId="12" hiddenButton="0" showButton="0"/>
    <filterColumn colId="13" hiddenButton="0" showButton="0"/>
  </autoFilter>
  <mergeCells count="1">
    <mergeCell ref="M3:O3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2"/>
  <sheetViews>
    <sheetView topLeftCell="A34" zoomScale="85" zoomScaleNormal="85" workbookViewId="0">
      <selection activeCell="S25" sqref="S25"/>
    </sheetView>
  </sheetViews>
  <sheetFormatPr baseColWidth="8" defaultRowHeight="14.5"/>
  <cols>
    <col width="12.453125" customWidth="1" style="4" min="1" max="1"/>
    <col width="10.54296875" customWidth="1" style="125" min="2" max="4"/>
    <col width="17.08984375" customWidth="1" style="125" min="11" max="11"/>
    <col width="15" customWidth="1" style="125" min="15" max="17"/>
  </cols>
  <sheetData>
    <row r="1">
      <c r="A1" s="118" t="inlineStr">
        <is>
          <t>Consolidated man hour requirement  for Oct'25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2" t="n"/>
      <c r="L1" s="94" t="n"/>
    </row>
    <row r="2">
      <c r="A2" s="52">
        <f>(20*8*5)</f>
        <v/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2" t="n"/>
      <c r="L2" s="1" t="n"/>
      <c r="M2" s="111" t="n"/>
      <c r="N2" s="111" t="n"/>
      <c r="O2" s="112" t="n"/>
    </row>
    <row r="3" ht="41.25" customHeight="1" s="125">
      <c r="A3" s="3" t="inlineStr">
        <is>
          <t>Job No</t>
        </is>
      </c>
      <c r="B3" s="3" t="inlineStr">
        <is>
          <t>No. of Running orders</t>
        </is>
      </c>
      <c r="C3" s="3" t="inlineStr">
        <is>
          <t>Orders for FD f/up</t>
        </is>
      </c>
      <c r="D3" s="3" t="inlineStr">
        <is>
          <t>OCS done</t>
        </is>
      </c>
      <c r="E3" s="3" t="inlineStr">
        <is>
          <t>Exp.</t>
        </is>
      </c>
      <c r="F3" s="3" t="inlineStr">
        <is>
          <t>Inspn</t>
        </is>
      </c>
      <c r="G3" s="9" t="inlineStr">
        <is>
          <t>Others</t>
        </is>
      </c>
      <c r="H3" s="3" t="inlineStr">
        <is>
          <t>Total</t>
        </is>
      </c>
      <c r="I3" s="1" t="inlineStr">
        <is>
          <t>*Others/ Remarks</t>
        </is>
      </c>
      <c r="J3" s="111" t="n"/>
      <c r="K3" s="112" t="n"/>
      <c r="L3" s="110" t="inlineStr">
        <is>
          <t>Insp/ Project Coordinators</t>
        </is>
      </c>
      <c r="M3" s="111" t="n"/>
      <c r="N3" s="111" t="n"/>
      <c r="O3" s="112" t="n"/>
      <c r="P3" s="2" t="inlineStr">
        <is>
          <t xml:space="preserve">MH available as on </t>
        </is>
      </c>
      <c r="Q3" s="5" t="inlineStr">
        <is>
          <t>MH to be released for Oct'25</t>
        </is>
      </c>
      <c r="R3" t="inlineStr">
        <is>
          <t>Allotted</t>
        </is>
      </c>
      <c r="S3" t="inlineStr">
        <is>
          <t>8518 reqd</t>
        </is>
      </c>
    </row>
    <row r="4" ht="51.5" customHeight="1" s="125">
      <c r="A4" s="3" t="n">
        <v>4994</v>
      </c>
      <c r="B4" s="3" t="n">
        <v>0</v>
      </c>
      <c r="C4" s="3" t="n"/>
      <c r="D4" s="3" t="n"/>
      <c r="E4" s="3" t="n"/>
      <c r="F4" s="3" t="n"/>
      <c r="G4" s="9" t="n">
        <v>8</v>
      </c>
      <c r="H4" s="3">
        <f>SUM(E4:G4)</f>
        <v/>
      </c>
      <c r="I4" s="62" t="inlineStr">
        <is>
          <t>Reval: West Coast Optilinks-8h rel on 24/11[4454]</t>
        </is>
      </c>
      <c r="J4" s="63" t="n"/>
      <c r="K4" s="64" t="n"/>
      <c r="L4" s="110" t="inlineStr">
        <is>
          <t>Rajesh Sinha</t>
        </is>
      </c>
      <c r="M4" s="111" t="n"/>
      <c r="N4" s="111" t="n"/>
      <c r="O4" s="112" t="n"/>
      <c r="P4" s="3" t="n">
        <v>0</v>
      </c>
      <c r="Q4" s="3" t="n">
        <v>32</v>
      </c>
      <c r="R4" t="n">
        <v>0</v>
      </c>
      <c r="S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11/7[4326];8h rel on 24/11[4454]</t>
        </is>
      </c>
    </row>
    <row r="5" ht="46" customHeight="1" s="125">
      <c r="A5" s="3" t="n">
        <v>6979</v>
      </c>
      <c r="B5" s="3" t="n"/>
      <c r="C5" s="3" t="n"/>
      <c r="D5" s="3" t="n"/>
      <c r="E5" s="3" t="n"/>
      <c r="F5" s="3" t="n"/>
      <c r="G5" s="9" t="n"/>
      <c r="H5" s="3" t="n">
        <v>0</v>
      </c>
      <c r="I5" s="56" t="n"/>
      <c r="J5" s="56" t="n"/>
      <c r="K5" s="56" t="n"/>
      <c r="L5" s="110" t="n"/>
      <c r="M5" s="111" t="n"/>
      <c r="N5" s="111" t="n"/>
      <c r="O5" s="112" t="n"/>
      <c r="P5" s="3" t="n"/>
      <c r="Q5" s="3" t="n"/>
      <c r="S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/>
      <c r="E6" s="3" t="n"/>
      <c r="F6" s="3" t="n">
        <v>0</v>
      </c>
      <c r="G6" s="9">
        <f>8*0</f>
        <v/>
      </c>
      <c r="H6" s="3">
        <f>SUM(E6:G6)</f>
        <v/>
      </c>
      <c r="I6" s="62" t="n"/>
      <c r="J6" s="63" t="n"/>
      <c r="K6" s="64" t="n"/>
      <c r="L6" s="110" t="inlineStr">
        <is>
          <t>Sanjeev Kumar/ Yatendra Agrawal - EIB Renovation</t>
        </is>
      </c>
      <c r="M6" s="111" t="n"/>
      <c r="N6" s="111" t="n"/>
      <c r="O6" s="112" t="n"/>
      <c r="P6" s="3" t="n"/>
      <c r="Q6" s="3" t="n"/>
      <c r="R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/>
      <c r="D7" s="3" t="n"/>
      <c r="E7" s="3" t="n">
        <v>0</v>
      </c>
      <c r="F7" s="3" t="n">
        <v>0</v>
      </c>
      <c r="G7" s="9" t="n"/>
      <c r="H7" s="3" t="n">
        <v>200</v>
      </c>
      <c r="I7" s="62" t="inlineStr">
        <is>
          <t>Admin works,Insp Guidelines/Typ Test review/ITP revision(E&amp;I ITPS)/KM,NTPC Green - Discussions;other miscellaneous works incl.  Hosp Nomination;Capex Requirements for Off. &amp; GH, Vehicle Hiring Contract</t>
        </is>
      </c>
      <c r="J7" s="63" t="n"/>
      <c r="K7" s="64" t="n"/>
      <c r="L7" s="110" t="inlineStr">
        <is>
          <t xml:space="preserve"> Tech Develop &amp; OH</t>
        </is>
      </c>
      <c r="M7" s="111" t="n"/>
      <c r="N7" s="111" t="n"/>
      <c r="O7" s="112" t="n"/>
      <c r="P7" s="3" t="n">
        <v>300</v>
      </c>
      <c r="Q7" s="3" t="n"/>
      <c r="S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</t>
        </is>
      </c>
    </row>
    <row r="8" ht="123" customHeight="1" s="125">
      <c r="A8" s="3" t="n">
        <v>8590</v>
      </c>
      <c r="B8" s="3" t="n"/>
      <c r="C8" s="3" t="n"/>
      <c r="D8" s="3" t="n"/>
      <c r="E8" s="3" t="n"/>
      <c r="F8" s="3" t="n">
        <v>0</v>
      </c>
      <c r="G8" s="9" t="n"/>
      <c r="H8" s="3">
        <f>SUM(E8:G8)</f>
        <v/>
      </c>
      <c r="I8" s="62" t="n"/>
      <c r="J8" s="63" t="n"/>
      <c r="K8" s="64" t="n"/>
      <c r="L8" s="110" t="n"/>
      <c r="M8" s="111" t="n"/>
      <c r="N8" s="111" t="n"/>
      <c r="O8" s="112" t="n"/>
      <c r="P8" s="3" t="n"/>
      <c r="Q8" s="3" t="n"/>
    </row>
    <row r="9" ht="41.25" customHeight="1" s="125">
      <c r="A9" s="3" t="inlineStr">
        <is>
          <t>B016</t>
        </is>
      </c>
      <c r="B9" s="3" t="n">
        <v>0</v>
      </c>
      <c r="C9" s="3" t="n"/>
      <c r="D9" s="3" t="n"/>
      <c r="E9" s="3" t="n">
        <v>0</v>
      </c>
      <c r="F9" s="3" t="n"/>
      <c r="G9" s="9" t="n">
        <v>0</v>
      </c>
      <c r="H9" s="3" t="n">
        <v>0</v>
      </c>
      <c r="I9" s="57" t="inlineStr">
        <is>
          <t xml:space="preserve"> </t>
        </is>
      </c>
      <c r="J9" s="58" t="inlineStr">
        <is>
          <t xml:space="preserve"> </t>
        </is>
      </c>
      <c r="K9" s="59" t="inlineStr">
        <is>
          <t xml:space="preserve"> </t>
        </is>
      </c>
      <c r="L9" s="110" t="inlineStr">
        <is>
          <t>Uday Pratap Singh/Pankaj Saxena/Alok Singh</t>
        </is>
      </c>
      <c r="M9" s="111" t="n"/>
      <c r="N9" s="111" t="n"/>
      <c r="O9" s="112" t="n"/>
      <c r="P9" s="2" t="n"/>
      <c r="Q9" s="5" t="n"/>
      <c r="S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0</v>
      </c>
      <c r="C10" s="3" t="n"/>
      <c r="D10" s="3" t="n"/>
      <c r="E10" s="3">
        <f>B10*8</f>
        <v/>
      </c>
      <c r="F10" s="3" t="n">
        <v>0</v>
      </c>
      <c r="G10" s="12" t="n">
        <v>0</v>
      </c>
      <c r="H10" s="3">
        <f>E10+F10+G10</f>
        <v/>
      </c>
      <c r="I10" s="126" t="inlineStr">
        <is>
          <t>Expediting - Greensol;</t>
        </is>
      </c>
      <c r="J10" s="111" t="n"/>
      <c r="K10" s="112" t="n"/>
      <c r="L10" s="110" t="inlineStr">
        <is>
          <t>Saeed Akhtar/ D Jana</t>
        </is>
      </c>
      <c r="M10" s="111" t="n"/>
      <c r="N10" s="111" t="n"/>
      <c r="O10" s="112" t="n"/>
      <c r="P10" s="3" t="n">
        <v>0</v>
      </c>
      <c r="Q10" s="3">
        <f>H10-P10</f>
        <v/>
      </c>
      <c r="R10" t="inlineStr">
        <is>
          <t xml:space="preserve"> </t>
        </is>
      </c>
      <c r="S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 t="n"/>
      <c r="D11" s="3" t="n"/>
      <c r="E11" s="3">
        <f>2*B11</f>
        <v/>
      </c>
      <c r="F11" s="3" t="n">
        <v>0</v>
      </c>
      <c r="G11" s="9" t="n">
        <v>0</v>
      </c>
      <c r="H11" s="3">
        <f>E11+F11+G11</f>
        <v/>
      </c>
      <c r="I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J11" s="111" t="n"/>
      <c r="K11" s="112" t="n"/>
      <c r="L11" s="110" t="inlineStr">
        <is>
          <t>Himanghsu Pal/Sanjeev Kumar/Aasheesh Handa</t>
        </is>
      </c>
      <c r="M11" s="111" t="n"/>
      <c r="N11" s="111" t="n"/>
      <c r="O11" s="112" t="n"/>
      <c r="P11" s="3" t="n">
        <v>0</v>
      </c>
      <c r="Q11" s="3">
        <f>H11-P11</f>
        <v/>
      </c>
      <c r="S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1</v>
      </c>
      <c r="C12" s="3" t="n"/>
      <c r="D12" s="3" t="n"/>
      <c r="E12" s="3" t="n">
        <v>0</v>
      </c>
      <c r="F12" s="3" t="n"/>
      <c r="G12" s="9" t="n"/>
      <c r="H12" s="3" t="n">
        <v>0</v>
      </c>
      <c r="I12" s="56" t="inlineStr">
        <is>
          <t xml:space="preserve"> </t>
        </is>
      </c>
      <c r="J12" s="60" t="n"/>
      <c r="K12" s="61" t="n"/>
      <c r="L12" s="110" t="inlineStr">
        <is>
          <t>Patra/Sanjay Dhuria</t>
        </is>
      </c>
      <c r="M12" s="111" t="n"/>
      <c r="N12" s="111" t="n"/>
      <c r="O12" s="112" t="n"/>
      <c r="P12" s="3" t="n"/>
      <c r="Q12" s="3" t="n"/>
      <c r="S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n"/>
      <c r="D13" s="3" t="n"/>
      <c r="E13" s="3" t="inlineStr">
        <is>
          <t xml:space="preserve"> </t>
        </is>
      </c>
      <c r="F13" s="3" t="inlineStr">
        <is>
          <t xml:space="preserve"> </t>
        </is>
      </c>
      <c r="G13" s="9" t="n"/>
      <c r="H13" s="3">
        <f>8*12</f>
        <v/>
      </c>
      <c r="I13" s="62" t="inlineStr">
        <is>
          <t>Insp: KSBMIL-Control Valves-9,27,28/10(3d),Belgaum Aqua-22/10(1d);Others- (7d) ;Doc Rev: Emerson-USM-8/10(0.5d);DMW/Tmeic-Motors-15/10(0.5d)C&amp;S Sw Bd -23/10(0.5d);QAPs:JSW/CG-28/10(0.5);FM,Orif.Plate,Corr Mon etc -QAPs-8 nos-20-23/10(4d);Expediting: C&amp;S-7/10-96h rel. on 28/11[7068]</t>
        </is>
      </c>
      <c r="J13" s="63" t="n"/>
      <c r="K13" s="64" t="n"/>
      <c r="L13" s="110" t="inlineStr">
        <is>
          <t>G Suresh/Mr Dipak Panchal /Ms Gauri Sharma/ Mr Sunil Saurabh</t>
        </is>
      </c>
      <c r="M13" s="111" t="n"/>
      <c r="N13" s="111" t="n"/>
      <c r="O13" s="112" t="n"/>
      <c r="P13" s="3" t="n">
        <v>0</v>
      </c>
      <c r="Q13" s="3" t="n">
        <v>56</v>
      </c>
      <c r="S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 t="n"/>
      <c r="D14" s="3" t="n"/>
      <c r="E14" s="3">
        <f>2*B14</f>
        <v/>
      </c>
      <c r="F14" s="3" t="n"/>
      <c r="G14" s="9" t="n">
        <v>0</v>
      </c>
      <c r="H14" s="3">
        <f>SUM(E14:G14)</f>
        <v/>
      </c>
      <c r="I14" s="62" t="n"/>
      <c r="J14" s="63" t="n"/>
      <c r="K14" s="64" t="n"/>
      <c r="L14" s="110" t="inlineStr">
        <is>
          <t>Muthu/Patra/JPS Kalra/DK Kesri</t>
        </is>
      </c>
      <c r="M14" s="111" t="n"/>
      <c r="N14" s="111" t="n"/>
      <c r="O14" s="112" t="n"/>
      <c r="P14" s="3" t="n"/>
      <c r="Q14" s="3" t="n"/>
      <c r="S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12</v>
      </c>
      <c r="C15" s="3" t="n">
        <v>5</v>
      </c>
      <c r="D15" t="n">
        <v>1</v>
      </c>
      <c r="E15" s="3">
        <f>2*B15+4*1+2</f>
        <v/>
      </c>
      <c r="F15" s="3">
        <f>8*3</f>
        <v/>
      </c>
      <c r="G15" s="9">
        <f>8*2</f>
        <v/>
      </c>
      <c r="H15" s="3">
        <f>SUM(E15:G15)</f>
        <v/>
      </c>
      <c r="I15" s="62" t="inlineStr">
        <is>
          <t>12 running orders+ 5Orders FD sub expediting+1OCS; Critical Item Insp - YIL-Indmax FAT-(3d); BDK visit- (1d) for expediting rectification/replacement of valves recd.frm site; VC with BDK/MF -(1d);14h rel on 14/11</t>
        </is>
      </c>
      <c r="J15" s="63" t="n"/>
      <c r="K15" s="64" t="n"/>
      <c r="L15" s="110" t="inlineStr">
        <is>
          <t>Muthu/VA/Rajesh Bhatla/Arun Singh Arya/Sanjay Chaudhary</t>
        </is>
      </c>
      <c r="M15" s="111" t="n"/>
      <c r="N15" s="111" t="n"/>
      <c r="O15" s="112" t="n"/>
      <c r="P15" s="3" t="n">
        <v>0</v>
      </c>
      <c r="Q15" s="3" t="n"/>
      <c r="S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11/7[1656];14h rel on 14/11[1744]</t>
        </is>
      </c>
    </row>
    <row r="16" ht="51.5" customHeight="1" s="125">
      <c r="A16" s="10" t="inlineStr">
        <is>
          <t>B285</t>
        </is>
      </c>
      <c r="B16" s="3" t="n"/>
      <c r="C16" s="3" t="n"/>
      <c r="E16" s="3" t="n"/>
      <c r="F16" s="3" t="n"/>
      <c r="G16" s="9" t="n"/>
      <c r="H16" s="3" t="n">
        <v>0</v>
      </c>
      <c r="I16" s="56" t="inlineStr">
        <is>
          <t xml:space="preserve"> </t>
        </is>
      </c>
      <c r="J16" s="60" t="n"/>
      <c r="K16" s="61" t="n"/>
      <c r="L16" s="110" t="inlineStr">
        <is>
          <t>Sanjeev Kumar/Vikalp Paliwal</t>
        </is>
      </c>
      <c r="M16" s="111" t="n"/>
      <c r="N16" s="111" t="n"/>
      <c r="O16" s="112" t="n"/>
      <c r="P16" s="3" t="n"/>
      <c r="Q16" s="3" t="n"/>
    </row>
    <row r="17" ht="112" customHeight="1" s="125">
      <c r="A17" s="10" t="inlineStr">
        <is>
          <t>B297</t>
        </is>
      </c>
      <c r="B17" s="3" t="n">
        <v>0</v>
      </c>
      <c r="C17" s="3" t="n">
        <v>4</v>
      </c>
      <c r="D17" s="95" t="n">
        <v>0</v>
      </c>
      <c r="E17" s="3">
        <f>2*B17</f>
        <v/>
      </c>
      <c r="F17" s="3">
        <f>8*0</f>
        <v/>
      </c>
      <c r="G17" s="9">
        <f>8*0</f>
        <v/>
      </c>
      <c r="H17" s="3">
        <f>SUM(E17:G17)</f>
        <v/>
      </c>
      <c r="I17" s="62" t="inlineStr">
        <is>
          <t xml:space="preserve">Exp- 4-FD sub exp </t>
        </is>
      </c>
      <c r="J17" s="63" t="n"/>
      <c r="K17" s="64" t="n"/>
      <c r="L17" s="110" t="inlineStr">
        <is>
          <t>Muthu/NS Vasudev/Manish Tiwari - GAIL Pata</t>
        </is>
      </c>
      <c r="M17" s="111" t="n"/>
      <c r="N17" s="111" t="n"/>
      <c r="O17" s="112" t="n"/>
      <c r="P17" s="3" t="n">
        <v>10</v>
      </c>
      <c r="Q17" s="3" t="n"/>
      <c r="S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4</v>
      </c>
      <c r="C18" s="3" t="n"/>
      <c r="D18" t="n">
        <v>0</v>
      </c>
      <c r="E18" s="3">
        <f>2*B18+4</f>
        <v/>
      </c>
      <c r="F18" s="3">
        <f>8*4</f>
        <v/>
      </c>
      <c r="G18" s="9">
        <f>8*1</f>
        <v/>
      </c>
      <c r="H18" s="3">
        <f>SUM(E18:G18)</f>
        <v/>
      </c>
      <c r="I18" s="62" t="inlineStr">
        <is>
          <t>4 Running orders ;Doc rev: -YIL-103-QAPs-MFM&amp;CatC B/outs review ; Inspn: KEPL/Tmeic-Drives-13/10(1d);IPPS 1,2,3PLC FAT- 23 to 25/10(3d);</t>
        </is>
      </c>
      <c r="J18" s="63" t="n"/>
      <c r="K18" s="64" t="n"/>
      <c r="L18" s="110" t="inlineStr">
        <is>
          <t>Muthu/Hemant Gadasia/D Jana(302-1)/Sivakumar(302-2)/Abhishek Rai/Balbir Singh (01-P/L &amp; 02- COT) - pump order - 02; FOA also to incl. Unit no for correlation</t>
        </is>
      </c>
      <c r="M18" s="111" t="n"/>
      <c r="N18" s="111" t="n"/>
      <c r="O18" s="112" t="n"/>
      <c r="P18" s="3" t="n"/>
      <c r="Q18" s="3" t="n"/>
      <c r="S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4</v>
      </c>
      <c r="C19" s="3" t="n">
        <v>3</v>
      </c>
      <c r="D19" t="n">
        <v>0</v>
      </c>
      <c r="E19" s="3">
        <f>2*B19+2*2</f>
        <v/>
      </c>
      <c r="F19" s="3" t="n">
        <v>0</v>
      </c>
      <c r="G19" s="9" t="n">
        <v>0</v>
      </c>
      <c r="H19" s="3">
        <f>SUM(E19:G19)</f>
        <v/>
      </c>
      <c r="I19" s="62" t="inlineStr">
        <is>
          <t>7 orders incl. 3 FD exp.</t>
        </is>
      </c>
      <c r="J19" s="62" t="n"/>
      <c r="K19" s="62" t="n"/>
      <c r="L19" s="110" t="inlineStr">
        <is>
          <t>Sanjeev Kumar/Lavish/HarshVardhan</t>
        </is>
      </c>
      <c r="M19" s="111" t="n"/>
      <c r="N19" s="111" t="n"/>
      <c r="O19" s="112" t="n"/>
      <c r="P19" s="3" t="n">
        <v>1</v>
      </c>
      <c r="Q19" s="3" t="n"/>
      <c r="S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15/4[162];36h rel on 14/1[268]</t>
        </is>
      </c>
    </row>
    <row r="20" ht="83.5" customHeight="1" s="125">
      <c r="A20" s="3" t="inlineStr">
        <is>
          <t>B359</t>
        </is>
      </c>
      <c r="B20" s="3" t="n"/>
      <c r="C20" s="3" t="n"/>
      <c r="E20" s="3" t="n"/>
      <c r="F20" s="3" t="n">
        <v>0</v>
      </c>
      <c r="G20" s="9" t="n">
        <v>0</v>
      </c>
      <c r="H20" s="3">
        <f>SUM(E20:G20)</f>
        <v/>
      </c>
      <c r="I20" s="62" t="inlineStr">
        <is>
          <t xml:space="preserve"> </t>
        </is>
      </c>
      <c r="J20" s="62" t="n"/>
      <c r="K20" s="62" t="n"/>
      <c r="L20" s="110" t="inlineStr">
        <is>
          <t>Chandrashekhar/Sumanta Mondal/Abhishek/Sarvesh Kumar</t>
        </is>
      </c>
      <c r="M20" s="111" t="n"/>
      <c r="N20" s="111" t="n"/>
      <c r="O20" s="112" t="n"/>
      <c r="P20" s="3" t="n"/>
      <c r="Q20" s="3" t="n"/>
      <c r="S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t="n">
        <v>15</v>
      </c>
      <c r="C21" t="n">
        <v>11</v>
      </c>
      <c r="D21" t="n">
        <v>1</v>
      </c>
      <c r="E21" s="3">
        <f>2*(B21+C21)+2*9</f>
        <v/>
      </c>
      <c r="F21" s="3">
        <f>8*5</f>
        <v/>
      </c>
      <c r="G21" s="9">
        <f>8*2</f>
        <v/>
      </c>
      <c r="H21" s="3">
        <f>SUM(E21:G21)</f>
        <v/>
      </c>
      <c r="I21" s="62" t="inlineStr">
        <is>
          <t xml:space="preserve"> 26 ord Expediting(incl  11ord FD sub exp)+1 OCS;Coordination/resolution of site issues-(1d);YIL &amp; ABB- Mtg. with Sr. Mgmt Team for expediting O/s supply &amp; site activities (1d) Inspn:YIL- PDH DCS FAT- 29-30/10(3d);KSBMIL-816 &amp; 854- Control Vlv(2d);Others- Doc Rev-ABB-ECS-(0.5d) -126h rel on 13/11</t>
        </is>
      </c>
      <c r="J21" s="62" t="n"/>
      <c r="K21" s="62" t="n"/>
      <c r="L21" s="110" t="inlineStr">
        <is>
          <t>Muthu/CS Prasad/Ajay Gupta/Rajeev Kr Khandelwal/Prakash Jagarwal/Deepak Dinkar -GAIL Usar</t>
        </is>
      </c>
      <c r="M21" s="111" t="n"/>
      <c r="N21" s="111" t="n"/>
      <c r="O21" s="112" t="n"/>
      <c r="P21" s="3" t="n">
        <v>0</v>
      </c>
      <c r="Q21" s="3" t="n"/>
      <c r="S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16/6[4328];126mh rel on 13/11[5030]</t>
        </is>
      </c>
    </row>
    <row r="22" ht="83.5" customHeight="1" s="125">
      <c r="A22" s="10" t="inlineStr">
        <is>
          <t>B414</t>
        </is>
      </c>
      <c r="B22" t="n">
        <v>1</v>
      </c>
      <c r="C22" t="n">
        <v>3</v>
      </c>
      <c r="E22" s="3">
        <f>2*B22+1*4</f>
        <v/>
      </c>
      <c r="F22" s="3">
        <f>8*0</f>
        <v/>
      </c>
      <c r="G22" s="9">
        <f>8*0</f>
        <v/>
      </c>
      <c r="H22" s="3">
        <f>SUM(E22:G22)</f>
        <v/>
      </c>
      <c r="I22" s="62" t="inlineStr">
        <is>
          <t xml:space="preserve">4 orders ( incl. 3 FD expediting); </t>
        </is>
      </c>
      <c r="J22" s="62" t="n"/>
      <c r="K22" s="62" t="n"/>
      <c r="L22" s="110" t="inlineStr">
        <is>
          <t>Sanjeev/ Shnaoli Nath</t>
        </is>
      </c>
      <c r="M22" s="111" t="n"/>
      <c r="N22" s="111" t="n"/>
      <c r="O22" s="112" t="n"/>
      <c r="P22" s="3" t="n"/>
      <c r="Q22" s="3" t="n"/>
      <c r="S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3" ht="83.5" customHeight="1" s="125">
      <c r="A23" s="10" t="inlineStr">
        <is>
          <t>B436</t>
        </is>
      </c>
      <c r="E23" s="3" t="n">
        <v>2</v>
      </c>
      <c r="F23" s="3" t="n">
        <v>0</v>
      </c>
      <c r="G23" s="9" t="n">
        <v>0</v>
      </c>
      <c r="H23" s="3" t="n">
        <v>0</v>
      </c>
      <c r="I23" s="62" t="inlineStr">
        <is>
          <t xml:space="preserve">SCADA order on ABB </t>
        </is>
      </c>
      <c r="J23" s="62" t="n"/>
      <c r="K23" s="62" t="n"/>
      <c r="L23" s="110" t="inlineStr">
        <is>
          <t>T Ravi/Sangram Mishra/NS Vasudev</t>
        </is>
      </c>
      <c r="M23" s="111" t="n"/>
      <c r="N23" s="111" t="n"/>
      <c r="O23" s="112" t="n"/>
      <c r="P23" s="3" t="n"/>
      <c r="Q23" s="3" t="n"/>
      <c r="R23" t="inlineStr">
        <is>
          <t>10h rel on 22/5;26h rel on 12/10[38]</t>
        </is>
      </c>
    </row>
    <row r="24" ht="121.5" customHeight="1" s="125">
      <c r="A24" s="10" t="inlineStr">
        <is>
          <t>B440</t>
        </is>
      </c>
      <c r="B24" t="n">
        <v>12</v>
      </c>
      <c r="C24" t="n">
        <v>0</v>
      </c>
      <c r="D24" t="n">
        <v>2</v>
      </c>
      <c r="E24" s="3">
        <f>2*B24 + 4*2+2*2</f>
        <v/>
      </c>
      <c r="F24" s="3">
        <f>8*0</f>
        <v/>
      </c>
      <c r="G24" s="9" t="n">
        <v>0</v>
      </c>
      <c r="H24" s="3">
        <f>SUM(E24:G24)</f>
        <v/>
      </c>
      <c r="I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Clarifications-8/7(0.5d); Oct: 12 R ord+2OCS</t>
        </is>
      </c>
      <c r="J24" s="62" t="n"/>
      <c r="K24" s="62" t="n"/>
      <c r="L24" s="110" t="inlineStr">
        <is>
          <t>Mittal/Ayush Mathur/Shivaji/VVR Murthy</t>
        </is>
      </c>
      <c r="M24" s="111" t="n"/>
      <c r="N24" s="111" t="n"/>
      <c r="O24" s="112" t="n"/>
      <c r="P24" s="3" t="n"/>
      <c r="Q24" s="3" t="n"/>
      <c r="R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16/6[260];40h rel on 16/1[381]</t>
        </is>
      </c>
    </row>
    <row r="25" ht="83.5" customHeight="1" s="125">
      <c r="A25" s="10" t="inlineStr">
        <is>
          <t>B448</t>
        </is>
      </c>
      <c r="E25" s="3" t="n">
        <v>0</v>
      </c>
      <c r="F25" s="3">
        <f>8*0</f>
        <v/>
      </c>
      <c r="G25" s="9">
        <f>8*0</f>
        <v/>
      </c>
      <c r="H25" s="3">
        <f>SUM(E25:G25)</f>
        <v/>
      </c>
      <c r="I25" s="62" t="inlineStr">
        <is>
          <t>ABB - Plant Automation Pkg - Metering &amp; Blend Skid</t>
        </is>
      </c>
      <c r="J25" s="62" t="n"/>
      <c r="K25" s="62" t="n"/>
      <c r="L25" s="110" t="inlineStr">
        <is>
          <t>Sanjeev Kumar/UK Mishra/NS Vasudev</t>
        </is>
      </c>
      <c r="M25" s="111" t="n"/>
      <c r="N25" s="111" t="n"/>
      <c r="O25" s="112" t="n"/>
      <c r="P25" s="3" t="n"/>
      <c r="Q25" s="3" t="n"/>
      <c r="S25" t="inlineStr">
        <is>
          <t xml:space="preserve">12 h issued on 11/1;4h rel on 11/3[22];8h rel on 6/4[30];20h rel on 11/5 [50];2h rel on 9/10 (sep ts closed so used in Oct)[56];2h rel on 10/4- to be used in Apr TS[56];18h rel on 22/5[74];4h rel on 1/7[78]; 16h rel on 27/8[110];8h rel on 4/3 [160];32h rel on 21/4[192]; </t>
        </is>
      </c>
    </row>
    <row r="26" ht="83.5" customHeight="1" s="125">
      <c r="A26" s="3" t="inlineStr">
        <is>
          <t>B519</t>
        </is>
      </c>
      <c r="B26" t="n">
        <v>0</v>
      </c>
      <c r="C26" t="n">
        <v>2</v>
      </c>
      <c r="D26" t="n">
        <v>0</v>
      </c>
      <c r="E26" s="3">
        <f>2*B26</f>
        <v/>
      </c>
      <c r="F26" s="3">
        <f>8*0</f>
        <v/>
      </c>
      <c r="G26" s="9" t="n">
        <v>0</v>
      </c>
      <c r="H26" s="3">
        <f>SUM(E26:G26)</f>
        <v/>
      </c>
      <c r="I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</t>
        </is>
      </c>
      <c r="J26" s="62" t="n"/>
      <c r="K26" s="62" t="n"/>
      <c r="L26" s="110" t="inlineStr">
        <is>
          <t>G Suresh/HarshVardan/Prakash Jagarwal/DSNMurty</t>
        </is>
      </c>
      <c r="M26" s="111" t="n"/>
      <c r="N26" s="111" t="n"/>
      <c r="O26" s="112" t="n"/>
      <c r="P26" s="3" t="n"/>
      <c r="Q26" s="3" t="n"/>
    </row>
    <row r="27" ht="83.5" customHeight="1" s="125">
      <c r="A27" s="10" t="inlineStr">
        <is>
          <t>B548</t>
        </is>
      </c>
      <c r="E27" s="3" t="n">
        <v>0</v>
      </c>
      <c r="F27" s="3" t="n">
        <v>0</v>
      </c>
      <c r="G27" s="9" t="n">
        <v>0</v>
      </c>
      <c r="H27" s="3">
        <f>SUM(E27:G27)</f>
        <v/>
      </c>
      <c r="I27" s="62" t="n"/>
      <c r="J27" s="62" t="n"/>
      <c r="K27" s="62" t="n"/>
      <c r="L27" s="110" t="inlineStr">
        <is>
          <t>Sanjeev Kr/T Ravi/NS Vasudev/Sanjeev Kr Gupta</t>
        </is>
      </c>
      <c r="M27" s="111" t="n"/>
      <c r="N27" s="111" t="n"/>
      <c r="O27" s="112" t="n"/>
      <c r="P27" s="3" t="n"/>
      <c r="Q27" s="3" t="n"/>
      <c r="R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10" t="inlineStr">
        <is>
          <t>B559</t>
        </is>
      </c>
      <c r="B28" t="n">
        <v>4</v>
      </c>
      <c r="C28" t="n">
        <v>1</v>
      </c>
      <c r="D28" t="n">
        <v>1</v>
      </c>
      <c r="E28" s="3">
        <f>2*D28+2*D28</f>
        <v/>
      </c>
      <c r="F28" s="3" t="n">
        <v>0</v>
      </c>
      <c r="G28" s="9" t="n">
        <v>0</v>
      </c>
      <c r="H28" s="3">
        <f>SUM(E28:G28)</f>
        <v/>
      </c>
      <c r="I28" s="62" t="inlineStr">
        <is>
          <t>IOCL Biturox,Vad-Proj. Prof. uploaded on 20/3- Desk Expediting - NO OCS; 5 orders expediting (incl. 1 OCS)</t>
        </is>
      </c>
      <c r="J28" s="62" t="n"/>
      <c r="K28" s="62" t="n"/>
      <c r="L28" s="110" t="inlineStr">
        <is>
          <t xml:space="preserve">Muthu/Aravaazhi/SK Gayen/RK Gupta </t>
        </is>
      </c>
      <c r="M28" s="111" t="n"/>
      <c r="N28" s="111" t="n"/>
      <c r="O28" s="112" t="n"/>
      <c r="P28" s="3" t="n"/>
      <c r="Q28" s="3" t="n"/>
      <c r="R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B559-01[1];8h rel on 19/1[24]</t>
        </is>
      </c>
    </row>
    <row r="29" ht="83.5" customHeight="1" s="125">
      <c r="A29" s="3" t="inlineStr">
        <is>
          <t>B560</t>
        </is>
      </c>
      <c r="B29" t="n">
        <v>3</v>
      </c>
      <c r="C29" t="n">
        <v>2</v>
      </c>
      <c r="E29" s="3">
        <f>2*B29</f>
        <v/>
      </c>
      <c r="F29" s="3" t="n"/>
      <c r="G29" s="9" t="n">
        <v>0</v>
      </c>
      <c r="H29" s="3">
        <f>SUM(E29:G29)</f>
        <v/>
      </c>
      <c r="I29" s="62" t="inlineStr">
        <is>
          <t xml:space="preserve">Req.from ED(I) for expediting on 15/6/24 -5 orders (incl.2 FD exp.) &amp; OCS also to be made as per latest reqt.; </t>
        </is>
      </c>
      <c r="J29" s="62" t="n"/>
      <c r="K29" s="62" t="n"/>
      <c r="L29" s="110" t="inlineStr">
        <is>
          <t>Chandrashekhar/Vinod Kumar/RK Medhavi</t>
        </is>
      </c>
      <c r="M29" s="111" t="n"/>
      <c r="N29" s="111" t="n"/>
      <c r="O29" s="112" t="n"/>
      <c r="P29" s="3" t="n"/>
      <c r="Q29" s="3" t="n"/>
      <c r="R29" t="inlineStr">
        <is>
          <t>100h rel on 23/4</t>
        </is>
      </c>
    </row>
    <row r="30" ht="44" customHeight="1" s="125">
      <c r="A30" s="10" t="inlineStr">
        <is>
          <t>B589</t>
        </is>
      </c>
      <c r="E30" s="3" t="n">
        <v>0</v>
      </c>
      <c r="F30" s="3" t="n">
        <v>0</v>
      </c>
      <c r="G30" s="9" t="n">
        <v>0</v>
      </c>
      <c r="H30" s="3" t="n">
        <v>0</v>
      </c>
      <c r="I30" s="62" t="n"/>
      <c r="J30" s="62" t="n"/>
      <c r="K30" s="62" t="n"/>
      <c r="L30" s="110" t="inlineStr">
        <is>
          <t>Himangshu Pal/Sanjeev Kr/T Ravi/NS Vasudev/Sanjeev Kr Gupta</t>
        </is>
      </c>
      <c r="M30" s="111" t="n"/>
      <c r="N30" s="111" t="n"/>
      <c r="O30" s="112" t="n"/>
      <c r="P30" s="3" t="n"/>
      <c r="Q30" s="3" t="n"/>
      <c r="R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10" t="inlineStr">
        <is>
          <t>B650</t>
        </is>
      </c>
      <c r="B31" t="n">
        <v>1</v>
      </c>
      <c r="D31" t="n">
        <v>1</v>
      </c>
      <c r="E31" s="3">
        <f>B31*2+2*D31</f>
        <v/>
      </c>
      <c r="F31" s="3" t="n"/>
      <c r="G31" s="9" t="n"/>
      <c r="H31" s="3">
        <f>SUM(E31:G31)</f>
        <v/>
      </c>
      <c r="I31" s="62" t="inlineStr">
        <is>
          <t xml:space="preserve">1R ord+1 OCS done - No scope for RPO - however, OCS to be done </t>
        </is>
      </c>
      <c r="J31" s="62" t="n"/>
      <c r="K31" s="62" t="n"/>
      <c r="L31" s="110" t="inlineStr">
        <is>
          <t>G Suresh/Sanjay Choudhary/Siddant Kumar</t>
        </is>
      </c>
      <c r="M31" s="111" t="n"/>
      <c r="N31" s="111" t="n"/>
      <c r="O31" s="112" t="n"/>
      <c r="P31" s="3" t="n"/>
      <c r="Q31" s="3" t="n"/>
    </row>
    <row r="32" ht="83.5" customHeight="1" s="125">
      <c r="A32" s="10" t="inlineStr">
        <is>
          <t>B653</t>
        </is>
      </c>
      <c r="B32" t="n">
        <v>7</v>
      </c>
      <c r="C32" t="n">
        <v>6</v>
      </c>
      <c r="D32" t="n">
        <v>0</v>
      </c>
      <c r="E32" s="3">
        <f>2*B32+1*4</f>
        <v/>
      </c>
      <c r="F32" s="3" t="n"/>
      <c r="G32" s="9" t="n">
        <v>0</v>
      </c>
      <c r="H32" s="3">
        <f>SUM(E32:G32)</f>
        <v/>
      </c>
      <c r="I32" s="62" t="inlineStr">
        <is>
          <t>Expediting by RPOs as per email dtd 22/10/24, OCS by RPO as per CS mail dt 17/1; (13 running incl 6FD exp);Univ Insts -Term Comm.Rev. mtg disc. -4h</t>
        </is>
      </c>
      <c r="J32" s="62" t="n"/>
      <c r="K32" s="62" t="n"/>
      <c r="L32" s="110" t="inlineStr">
        <is>
          <t>G Suresh/Sumanta Mondal/Aasheesh Handa/Amandeep Kaur</t>
        </is>
      </c>
      <c r="M32" s="111" t="n"/>
      <c r="N32" s="111" t="n"/>
      <c r="O32" s="112" t="n"/>
      <c r="P32" s="3" t="n"/>
      <c r="Q32" s="3" t="n"/>
      <c r="R32" t="inlineStr">
        <is>
          <t>40h rel on 9/4/24 [40];32 mh rel on 13/1[152]</t>
        </is>
      </c>
    </row>
    <row r="33" ht="83.5" customHeight="1" s="125">
      <c r="A33" s="3" t="inlineStr">
        <is>
          <t>B725</t>
        </is>
      </c>
      <c r="B33" s="3" t="n">
        <v>4</v>
      </c>
      <c r="C33" s="3" t="n"/>
      <c r="E33" s="3" t="n"/>
      <c r="F33" s="3" t="n">
        <v>0</v>
      </c>
      <c r="G33" s="9" t="n">
        <v>0</v>
      </c>
      <c r="H33" s="3">
        <f>SUM(E33:G33)</f>
        <v/>
      </c>
      <c r="I33" s="62" t="inlineStr">
        <is>
          <t xml:space="preserve">No expediting; </t>
        </is>
      </c>
      <c r="J33" s="62" t="n"/>
      <c r="K33" s="62" t="n"/>
      <c r="L33" s="110" t="inlineStr">
        <is>
          <t>Sanjeev Kumar- Scope: Rev. of ITP,Insp Docs &amp; FD</t>
        </is>
      </c>
      <c r="M33" s="111" t="n"/>
      <c r="N33" s="111" t="n"/>
      <c r="O33" s="112" t="n"/>
      <c r="P33" s="3" t="n"/>
      <c r="Q33" s="3" t="n"/>
      <c r="R33" t="inlineStr">
        <is>
          <t>4h sought by BT on 27/5 to Sanjeev Kr</t>
        </is>
      </c>
    </row>
    <row r="34" ht="83.5" customHeight="1" s="125">
      <c r="A34" s="3" t="inlineStr">
        <is>
          <t>B767</t>
        </is>
      </c>
      <c r="B34" s="3" t="n"/>
      <c r="C34" s="3" t="n"/>
      <c r="E34" s="3" t="n"/>
      <c r="F34" s="3" t="n">
        <v>0</v>
      </c>
      <c r="G34" s="9" t="n">
        <v>0</v>
      </c>
      <c r="H34" s="3">
        <f>8*0</f>
        <v/>
      </c>
      <c r="I34" s="62" t="inlineStr">
        <is>
          <t>Visit to OLA</t>
        </is>
      </c>
      <c r="J34" s="62" t="n"/>
      <c r="K34" s="62" t="n"/>
      <c r="L34" s="110" t="inlineStr">
        <is>
          <t>Saeed Akhtar/Vikalp Paliwal/Balakumar</t>
        </is>
      </c>
      <c r="M34" s="111" t="n"/>
      <c r="N34" s="111" t="n"/>
      <c r="O34" s="112" t="n"/>
      <c r="P34" s="3" t="n"/>
      <c r="Q34" s="3" t="n"/>
      <c r="R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3" t="inlineStr">
        <is>
          <t>B795</t>
        </is>
      </c>
      <c r="B35" s="3" t="n">
        <v>4</v>
      </c>
      <c r="C35" s="3" t="n"/>
      <c r="E35" s="3" t="n"/>
      <c r="F35" s="3">
        <f>8*5</f>
        <v/>
      </c>
      <c r="G35" s="9" t="n"/>
      <c r="H35" s="3">
        <f>SUM(E35:G35)</f>
        <v/>
      </c>
      <c r="I35" s="62" t="inlineStr">
        <is>
          <t>Insp: Shirdi Sai Elec- T/f - 6-10/10 -QAP appl. &amp; Insp. in EIL scope(desk exp.by Monitor) ;Telecom System-ABB-40h rel on 21/11[316]</t>
        </is>
      </c>
      <c r="J35" s="62" t="n"/>
      <c r="K35" s="62" t="n"/>
      <c r="L35" s="110" t="inlineStr">
        <is>
          <t>Muthu/Hemant Gadasia/Tarun Bansal/Dipak Panchal</t>
        </is>
      </c>
      <c r="M35" s="111" t="n"/>
      <c r="N35" s="111" t="n"/>
      <c r="O35" s="112" t="n"/>
      <c r="P35" s="3" t="n"/>
      <c r="Q35" s="3" t="n"/>
      <c r="R35" t="inlineStr">
        <is>
          <t>32h rels. On 12/9;64h on 16/1; addl 100h rel on 20/1 [276]</t>
        </is>
      </c>
    </row>
    <row r="36" ht="83.5" customHeight="1" s="125">
      <c r="A36" s="3" t="inlineStr">
        <is>
          <t>B813</t>
        </is>
      </c>
      <c r="B36" t="n">
        <v>1</v>
      </c>
      <c r="C36" s="3" t="n"/>
      <c r="E36" s="3">
        <f>2*B36</f>
        <v/>
      </c>
      <c r="F36" s="3" t="n"/>
      <c r="G36" s="9" t="n"/>
      <c r="H36" s="3">
        <f>SUM(E36:G36)</f>
        <v/>
      </c>
      <c r="I36" s="62" t="inlineStr">
        <is>
          <t>Expedite &amp; Inspect critical items (list provided in mail dt.29/5/25) EIL on man-day reimbursable basis - 1 order on KSBMIL</t>
        </is>
      </c>
      <c r="J36" s="62" t="n"/>
      <c r="K36" s="62" t="n"/>
      <c r="L36" s="110" t="inlineStr">
        <is>
          <t>Sanjeev Kumar/Raviraj/Shivaji</t>
        </is>
      </c>
      <c r="M36" s="111" t="n"/>
      <c r="N36" s="111" t="n"/>
      <c r="O36" s="112" t="inlineStr">
        <is>
          <t>NRL-Aqueous Ammonia Unit</t>
        </is>
      </c>
      <c r="P36" s="3" t="n"/>
      <c r="Q36" s="3" t="n"/>
      <c r="R36" t="inlineStr">
        <is>
          <t>12h rel on 16/1[12]</t>
        </is>
      </c>
    </row>
    <row r="37" ht="83.5" customHeight="1" s="125">
      <c r="A37" s="3" t="inlineStr">
        <is>
          <t>B861</t>
        </is>
      </c>
      <c r="B37" t="n">
        <v>1</v>
      </c>
      <c r="C37" s="3" t="n"/>
      <c r="E37" s="3" t="n"/>
      <c r="F37" s="3">
        <f>8*0</f>
        <v/>
      </c>
      <c r="G37" s="9" t="n">
        <v>8</v>
      </c>
      <c r="H37" s="3">
        <f>SUM(E37:G37)</f>
        <v/>
      </c>
      <c r="I37" s="62" t="inlineStr">
        <is>
          <t>Enginemtes order - mtg &amp; rev. of Quality reqts- Rev. of Weld Plan &amp; ICP-8,9/10; 8h rel on 18/11[50]</t>
        </is>
      </c>
      <c r="J37" s="62" t="n"/>
      <c r="K37" s="62" t="n"/>
      <c r="L37" s="110" t="inlineStr">
        <is>
          <t>G Suresh/Saeed Akhtar/Hemant Gadasia/Shashank Nayyar/D Jana</t>
        </is>
      </c>
      <c r="M37" s="111" t="n"/>
      <c r="N37" s="111" t="n"/>
      <c r="O37" s="112" t="n"/>
      <c r="P37" s="3" t="n"/>
      <c r="Q37" s="3" t="n"/>
    </row>
    <row r="38" ht="83.5" customHeight="1" s="125">
      <c r="A38" s="3" t="inlineStr">
        <is>
          <t>B862</t>
        </is>
      </c>
      <c r="B38" t="n">
        <v>5</v>
      </c>
      <c r="C38" s="3" t="n"/>
      <c r="E38" s="3">
        <f>B38*2</f>
        <v/>
      </c>
      <c r="F38" s="3" t="n"/>
      <c r="G38" s="9" t="n"/>
      <c r="H38" s="3">
        <f>SUM(E38:G38)</f>
        <v/>
      </c>
      <c r="I38" s="62" t="inlineStr">
        <is>
          <t>manhour for Level- 13 (Group-2), Level -15 &amp; 16 (Group-4) and Level-18 (Group-5) have far exceeded ceiling prescribed in the contract - &gt;Lvl 17-mh limited to 16%</t>
        </is>
      </c>
      <c r="J38" s="62" t="n"/>
      <c r="K38" s="62" t="n"/>
      <c r="L38" s="110" t="inlineStr">
        <is>
          <t>Sanjeev Kumar/Rajeev Khandelwal IOM 10/7/24 from Mr Rajeev Khandelwal on level wise breakup of MH to be booked - to be followed while seeking MH.</t>
        </is>
      </c>
      <c r="M38" s="111" t="n"/>
      <c r="N38" s="111" t="n"/>
      <c r="O38" s="112" t="inlineStr">
        <is>
          <t>PLL</t>
        </is>
      </c>
      <c r="P38" s="3" t="n"/>
      <c r="Q38" s="3" t="n"/>
      <c r="R38" t="inlineStr">
        <is>
          <t>200h rel in May'25</t>
        </is>
      </c>
    </row>
    <row r="39" ht="83.5" customHeight="1" s="125">
      <c r="A39" s="3" t="inlineStr">
        <is>
          <t>B865</t>
        </is>
      </c>
      <c r="C39" s="3" t="n"/>
      <c r="E39" s="3" t="n"/>
      <c r="F39" s="3" t="n"/>
      <c r="G39" s="9" t="n"/>
      <c r="H39" s="3" t="n"/>
      <c r="I39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J39" s="62" t="n"/>
      <c r="K39" s="62" t="n"/>
      <c r="L39" s="110" t="inlineStr">
        <is>
          <t>Muthu/CS Prasad/</t>
        </is>
      </c>
      <c r="M39" s="111" t="n"/>
      <c r="N39" s="111" t="n"/>
      <c r="O39" s="112" t="inlineStr">
        <is>
          <t>HPCL Petchem Mktg Terminal</t>
        </is>
      </c>
      <c r="P39" s="3" t="n"/>
      <c r="Q39" s="3" t="n"/>
    </row>
    <row r="40" ht="83.5" customHeight="1" s="125">
      <c r="A40" s="3" t="inlineStr">
        <is>
          <t>B895</t>
        </is>
      </c>
      <c r="C40" s="3" t="n"/>
      <c r="E40" s="3">
        <f>2*B40</f>
        <v/>
      </c>
      <c r="F40" s="3" t="n"/>
      <c r="G40" s="9" t="n"/>
      <c r="H40" s="3">
        <f>SUM(E40:G40)</f>
        <v/>
      </c>
      <c r="I40" s="62" t="n"/>
      <c r="J40" s="62" t="n"/>
      <c r="K40" s="62" t="n"/>
      <c r="L40" s="110" t="inlineStr">
        <is>
          <t>Muthu/Sujit Saha Roy/Shashank/Rajesh Bhatla</t>
        </is>
      </c>
      <c r="M40" s="111" t="n"/>
      <c r="N40" s="111" t="n"/>
      <c r="O40" s="112" t="n"/>
      <c r="P40" s="3" t="inlineStr">
        <is>
          <t>BPCL Kochi - Exp+Insp</t>
        </is>
      </c>
      <c r="Q40" s="3" t="n"/>
    </row>
    <row r="41" ht="83.5" customHeight="1" s="125">
      <c r="A41" s="3" t="inlineStr">
        <is>
          <t>B903</t>
        </is>
      </c>
      <c r="B41" t="n">
        <v>3</v>
      </c>
      <c r="C41" s="3" t="n"/>
      <c r="E41" s="3">
        <f>2*B41</f>
        <v/>
      </c>
      <c r="F41" s="3" t="n">
        <v>4</v>
      </c>
      <c r="G41" s="9" t="n"/>
      <c r="H41" s="3">
        <f>SUM(E41:G41)</f>
        <v/>
      </c>
      <c r="I41" s="62" t="inlineStr">
        <is>
          <t>3 ord exp+1ord TPI doc rev/endors</t>
        </is>
      </c>
      <c r="J41" s="62" t="n"/>
      <c r="K41" s="62" t="n"/>
      <c r="L41" s="110" t="inlineStr">
        <is>
          <t>Sanjeev Kumar/Shnaoli</t>
        </is>
      </c>
      <c r="M41" s="111" t="n"/>
      <c r="N41" s="111" t="n"/>
      <c r="O41" s="112" t="n"/>
      <c r="P41" s="3" t="n"/>
      <c r="Q41" s="3" t="n"/>
    </row>
    <row r="42" ht="83.5" customHeight="1" s="125">
      <c r="A42" s="3" t="inlineStr">
        <is>
          <t>B904</t>
        </is>
      </c>
      <c r="B42" t="n">
        <v>1</v>
      </c>
      <c r="C42" s="3" t="n"/>
      <c r="E42" s="3">
        <f>2*1</f>
        <v/>
      </c>
      <c r="F42" s="3" t="n"/>
      <c r="G42" s="9" t="n"/>
      <c r="H42" s="3">
        <f>SUM(E42:G42)</f>
        <v/>
      </c>
      <c r="I42" s="62" t="n"/>
      <c r="J42" s="62" t="n"/>
      <c r="K42" s="62" t="n"/>
      <c r="L42" s="110" t="inlineStr">
        <is>
          <t>Sanjeev Kumar/Shnaoli</t>
        </is>
      </c>
      <c r="M42" s="111" t="n"/>
      <c r="N42" s="111" t="n"/>
      <c r="O42" s="112" t="n"/>
      <c r="P42" s="3" t="n"/>
      <c r="Q42" s="3" t="n"/>
    </row>
    <row r="43" ht="83.5" customHeight="1" s="125">
      <c r="A43" s="3" t="inlineStr">
        <is>
          <t>B933</t>
        </is>
      </c>
      <c r="B43" t="n">
        <v>3</v>
      </c>
      <c r="C43" s="3" t="n"/>
      <c r="E43" s="3">
        <f>2*B43</f>
        <v/>
      </c>
      <c r="F43" s="3" t="n"/>
      <c r="G43" s="9" t="n"/>
      <c r="H43" s="3">
        <f>SUM(E43:G43)</f>
        <v/>
      </c>
      <c r="I43" s="62" t="n"/>
      <c r="J43" s="62" t="n"/>
      <c r="K43" s="62" t="n"/>
      <c r="L43" s="110" t="inlineStr">
        <is>
          <t>G Suresh/Binoy Debnath</t>
        </is>
      </c>
      <c r="M43" s="111" t="n"/>
      <c r="N43" s="111" t="n"/>
      <c r="O43" s="112" t="n"/>
      <c r="P43" s="3" t="inlineStr">
        <is>
          <t>BPCL Bina ref.</t>
        </is>
      </c>
      <c r="Q43" s="3" t="n"/>
    </row>
    <row r="44" ht="83.5" customHeight="1" s="125">
      <c r="A44" s="3" t="inlineStr">
        <is>
          <t>B943</t>
        </is>
      </c>
      <c r="B44" t="n">
        <v>1</v>
      </c>
      <c r="C44" s="3" t="n"/>
      <c r="E44" s="3">
        <f>2*B44</f>
        <v/>
      </c>
      <c r="F44" s="3" t="n"/>
      <c r="G44" s="9" t="n"/>
      <c r="H44" s="3">
        <f>SUM(E44:G44)</f>
        <v/>
      </c>
      <c r="I44" s="62" t="n"/>
      <c r="J44" s="62" t="n"/>
      <c r="K44" s="62" t="n"/>
      <c r="L44" s="110" t="n"/>
      <c r="M44" s="111" t="n"/>
      <c r="N44" s="111" t="n"/>
      <c r="O44" s="112" t="inlineStr">
        <is>
          <t>MRPL</t>
        </is>
      </c>
      <c r="P44" s="3" t="n"/>
      <c r="Q44" s="3" t="n"/>
      <c r="R44" t="inlineStr">
        <is>
          <t>8h rel on 14/1[8]</t>
        </is>
      </c>
    </row>
    <row r="45" ht="83.5" customHeight="1" s="125">
      <c r="A45" s="3" t="inlineStr">
        <is>
          <t>B957</t>
        </is>
      </c>
      <c r="B45" s="3" t="n">
        <v>1</v>
      </c>
      <c r="C45" s="3" t="n"/>
      <c r="E45" s="3">
        <f>B45*0</f>
        <v/>
      </c>
      <c r="F45" s="3" t="n"/>
      <c r="G45" s="9">
        <f>8*4</f>
        <v/>
      </c>
      <c r="H45" s="3">
        <f>SUM(E45:G45)</f>
        <v/>
      </c>
      <c r="I45" s="62" t="inlineStr">
        <is>
          <t>Vihawk - Meeting, discussion &amp; ICP approval -24,29/9;14,25/10- 8h rel on 24/11[10]</t>
        </is>
      </c>
      <c r="J45" s="62" t="n"/>
      <c r="K45" s="62" t="n"/>
      <c r="L45" s="110" t="n"/>
      <c r="M45" s="111" t="n"/>
      <c r="N45" s="111" t="n"/>
      <c r="O45" s="112" t="n"/>
      <c r="P45" s="3" t="n"/>
      <c r="Q45" s="3" t="n"/>
    </row>
    <row r="46" ht="83.5" customHeight="1" s="125">
      <c r="A46" s="3" t="inlineStr">
        <is>
          <t>C007</t>
        </is>
      </c>
      <c r="B46" s="3" t="n">
        <v>9</v>
      </c>
      <c r="C46" s="3" t="n"/>
      <c r="E46" s="3" t="n"/>
      <c r="F46" s="3">
        <f>8*B46</f>
        <v/>
      </c>
      <c r="G46" s="9" t="n"/>
      <c r="H46" s="3">
        <f>SUM(E46:G46)</f>
        <v/>
      </c>
      <c r="I46" s="62" t="inlineStr">
        <is>
          <t xml:space="preserve">Scope: Insp/Exp. of GAIL dir. Orders - Pipemill from 29/9 to 7/10 - 72h rel on 21/10 [264] - Utilised in Sep </t>
        </is>
      </c>
      <c r="J46" s="62" t="n"/>
      <c r="K46" s="62" t="n"/>
      <c r="L46" s="110" t="inlineStr">
        <is>
          <t>Muthu/Hemant Gadasia/Rajeev Chak/RSKanna</t>
        </is>
      </c>
      <c r="M46" s="111" t="n"/>
      <c r="N46" s="111" t="n"/>
      <c r="O46" s="112" t="n"/>
      <c r="P46" s="3" t="inlineStr">
        <is>
          <t>Vijaypur/Pata P/L</t>
        </is>
      </c>
      <c r="Q46" s="3" t="n"/>
    </row>
    <row r="47" ht="46" customHeight="1" s="125">
      <c r="A47" s="3" t="inlineStr">
        <is>
          <t>Leave</t>
        </is>
      </c>
      <c r="B47" s="3" t="n">
        <v>19</v>
      </c>
      <c r="C47" s="3" t="n"/>
      <c r="D47" s="3" t="n"/>
      <c r="E47" s="3" t="n"/>
      <c r="F47" s="3" t="n"/>
      <c r="G47" s="9" t="inlineStr">
        <is>
          <t xml:space="preserve"> </t>
        </is>
      </c>
      <c r="H47" s="3">
        <f>8*B47</f>
        <v/>
      </c>
      <c r="I47" s="62" t="inlineStr">
        <is>
          <t>VR:, AG:1,15,17,28,30,31;SV-1,3,13-17,31;BT-9,10,21;NV-9,10</t>
        </is>
      </c>
      <c r="J47" s="62" t="n"/>
      <c r="K47" s="62" t="n"/>
      <c r="L47" s="110" t="inlineStr">
        <is>
          <t xml:space="preserve"> </t>
        </is>
      </c>
      <c r="M47" s="111" t="n"/>
      <c r="N47" s="111" t="n"/>
      <c r="O47" s="112" t="n"/>
      <c r="P47" s="3" t="n"/>
      <c r="Q47" s="3">
        <f>H47-P47</f>
        <v/>
      </c>
      <c r="R47" t="n">
        <v>68</v>
      </c>
    </row>
    <row r="48" ht="45.5" customHeight="1" s="125">
      <c r="A48" s="3" t="inlineStr">
        <is>
          <t>Total</t>
        </is>
      </c>
      <c r="B48" s="3">
        <f>SUM(B10:B47)</f>
        <v/>
      </c>
      <c r="C48" s="3" t="n"/>
      <c r="D48" s="3" t="n"/>
      <c r="E48" s="3" t="n"/>
      <c r="F48" s="3" t="n"/>
      <c r="G48" s="9" t="n"/>
      <c r="H48" s="3">
        <f>SUM(H4:H47)</f>
        <v/>
      </c>
      <c r="I48" s="56" t="n"/>
      <c r="J48" s="56" t="n"/>
      <c r="K48" s="56" t="n"/>
      <c r="L48" s="110" t="n"/>
      <c r="M48" s="111" t="n"/>
      <c r="N48" s="111" t="n"/>
      <c r="O48" s="112" t="n"/>
      <c r="P48" s="3" t="n"/>
      <c r="Q48" s="3">
        <f>H48-P48</f>
        <v/>
      </c>
      <c r="R48">
        <f>SUM(R10:R47)</f>
        <v/>
      </c>
      <c r="S48">
        <f>672-R48</f>
        <v/>
      </c>
    </row>
    <row r="49" ht="83.5" customHeight="1" s="125">
      <c r="A49" s="3" t="n"/>
      <c r="B49" s="3" t="n"/>
      <c r="C49" s="3" t="n"/>
      <c r="D49" s="3" t="n"/>
      <c r="E49" s="3" t="n"/>
      <c r="F49" s="3" t="n"/>
      <c r="G49" s="9" t="n"/>
      <c r="H49" s="3" t="inlineStr">
        <is>
          <t xml:space="preserve"> </t>
        </is>
      </c>
      <c r="I49" s="56" t="n"/>
      <c r="J49" s="56" t="n"/>
      <c r="K49" s="56">
        <f>52*5*3- 36</f>
        <v/>
      </c>
      <c r="L49" s="110" t="n"/>
      <c r="M49" s="111" t="n"/>
      <c r="N49" s="111" t="n"/>
      <c r="O49" s="112" t="n"/>
      <c r="P49" s="3" t="n"/>
      <c r="Q49" s="3" t="n"/>
    </row>
    <row r="50" ht="83.5" customHeight="1" s="125">
      <c r="A50" s="3" t="inlineStr">
        <is>
          <t>Notes:</t>
        </is>
      </c>
      <c r="B50" s="3" t="n"/>
      <c r="C50" s="3" t="n"/>
      <c r="D50" s="3" t="n"/>
      <c r="E50" s="3" t="n"/>
      <c r="F50" s="3" t="n"/>
      <c r="G50" s="9" t="n"/>
      <c r="H50" s="3" t="n"/>
      <c r="I50" s="56" t="n"/>
      <c r="J50" s="56" t="n"/>
      <c r="K50" s="56" t="n"/>
      <c r="L50" s="110" t="n"/>
      <c r="M50" s="111" t="inlineStr">
        <is>
          <t xml:space="preserve"> </t>
        </is>
      </c>
      <c r="N50" s="111" t="n"/>
      <c r="O50" s="112" t="n"/>
      <c r="P50" s="3" t="n"/>
      <c r="Q50" s="3" t="n"/>
    </row>
    <row r="51" ht="83.5" customHeight="1" s="125">
      <c r="A51" s="3" t="inlineStr">
        <is>
          <t>1. If there are any other job nos., pl. include the same.</t>
        </is>
      </c>
      <c r="B51" s="3" t="n"/>
      <c r="C51" s="3" t="n"/>
      <c r="D51" s="3" t="n"/>
      <c r="E51" s="3" t="n"/>
      <c r="F51" s="3" t="n"/>
      <c r="G51" s="9" t="n"/>
      <c r="H51" s="3" t="n"/>
      <c r="I51" s="9" t="inlineStr">
        <is>
          <t xml:space="preserve"> </t>
        </is>
      </c>
      <c r="J51" s="111" t="n"/>
      <c r="K51" s="112" t="n"/>
      <c r="L51" s="6" t="inlineStr">
        <is>
          <t xml:space="preserve"> </t>
        </is>
      </c>
      <c r="M51" s="7" t="inlineStr">
        <is>
          <t xml:space="preserve"> </t>
        </is>
      </c>
      <c r="N51" s="7" t="n"/>
      <c r="O51" s="8" t="n"/>
      <c r="P51" s="3" t="n"/>
      <c r="Q51" s="3" t="n"/>
    </row>
    <row r="52">
      <c r="A52" s="24" t="inlineStr">
        <is>
          <t xml:space="preserve">Guidelines : </t>
        </is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</row>
    <row r="53">
      <c r="A53" s="26" t="inlineStr">
        <is>
          <t>1. Inspection Visit including review and endorsement of final documents: At  actual</t>
        </is>
      </c>
      <c r="B53" s="26" t="n"/>
      <c r="C53" s="26" t="n"/>
      <c r="D53" s="26" t="n"/>
    </row>
    <row r="54">
      <c r="A54" s="26" t="inlineStr">
        <is>
          <t xml:space="preserve">2. Expediting and preparation of expediting report: Average 2 hours /month /order ( No separate man hours for coordination ) </t>
        </is>
      </c>
      <c r="S54" t="inlineStr">
        <is>
          <t xml:space="preserve"> </t>
        </is>
      </c>
    </row>
    <row r="55">
      <c r="A55" s="26" t="inlineStr">
        <is>
          <t xml:space="preserve">3. Expediting visit/ Attending meeting with project/.Client: At  actual </t>
        </is>
      </c>
    </row>
    <row r="56">
      <c r="A56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7">
      <c r="A57" s="26" t="inlineStr">
        <is>
          <t xml:space="preserve">5. Review of ITP for Equipment (Mechanical and Electrical/DCS etc): Average 2 hours/order </t>
        </is>
      </c>
      <c r="O57" t="inlineStr">
        <is>
          <t xml:space="preserve"> </t>
        </is>
      </c>
    </row>
    <row r="58">
      <c r="A58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9">
      <c r="A59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0">
      <c r="A60" s="26" t="inlineStr">
        <is>
          <t xml:space="preserve">8. Order Closing report: Average 2 hours/Order  </t>
        </is>
      </c>
    </row>
    <row r="61">
      <c r="A61" s="27" t="n"/>
    </row>
    <row r="62">
      <c r="L62" t="inlineStr">
        <is>
          <t xml:space="preserve"> </t>
        </is>
      </c>
    </row>
  </sheetData>
  <mergeCells count="7">
    <mergeCell ref="I11:K11"/>
    <mergeCell ref="I10:K10"/>
    <mergeCell ref="A2:K2"/>
    <mergeCell ref="L2:O2"/>
    <mergeCell ref="I3:K3"/>
    <mergeCell ref="A1:K1"/>
    <mergeCell ref="I51:K51"/>
  </mergeCells>
  <pageMargins left="0.7" right="0.7" top="0.75" bottom="0.75" header="0.3" footer="0.3"/>
  <pageSetup orientation="landscape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Y59"/>
  <sheetViews>
    <sheetView topLeftCell="A22" workbookViewId="0">
      <selection activeCell="K25" sqref="K25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45931</v>
      </c>
      <c r="M1" s="122" t="inlineStr">
        <is>
          <t xml:space="preserve">Total MH reqd: </t>
        </is>
      </c>
      <c r="O1" s="122">
        <f>ConsolidatedMHrequirementOct25!A2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22/12/25</t>
        </is>
      </c>
      <c r="L3" s="33" t="inlineStr">
        <is>
          <t>Shortfall</t>
        </is>
      </c>
    </row>
    <row r="4" ht="15" customHeight="1" s="125">
      <c r="A4" s="71" t="n">
        <v>4994</v>
      </c>
      <c r="B4" s="3">
        <f>ConsolidatedMHrequirementOct25!B4</f>
        <v/>
      </c>
      <c r="C4" s="3" t="n"/>
      <c r="D4" s="3" t="n"/>
      <c r="E4" s="3" t="n"/>
      <c r="F4" s="41">
        <f>VLOOKUP(A4,ConsolidatedMHrequirementOct25!$A$4:$K$47,4,FALSE)</f>
        <v/>
      </c>
      <c r="G4" s="3">
        <f>ConsolidatedMHrequirementOct25!F4</f>
        <v/>
      </c>
      <c r="H4" s="3">
        <f>ConsolidatedMHrequirementOct25!E4</f>
        <v/>
      </c>
      <c r="I4" s="3">
        <f>ConsolidatedMHrequirementOct25!G4</f>
        <v/>
      </c>
      <c r="J4" s="41">
        <f>VLOOKUP(A4,ConsolidatedMHrequirementOct25!$A$4:$K$47,8,FALSE)</f>
        <v/>
      </c>
      <c r="K4" s="3" t="n">
        <v>8</v>
      </c>
      <c r="L4" s="3">
        <f>J4-K4</f>
        <v/>
      </c>
      <c r="M4" s="69">
        <f>ConsolidatedMHrequirementOct25!I4</f>
        <v/>
      </c>
    </row>
    <row r="5">
      <c r="A5" s="71" t="n">
        <v>6979</v>
      </c>
      <c r="B5" s="3">
        <f>ConsolidatedMHrequirementOct25!B5</f>
        <v/>
      </c>
      <c r="C5" s="3" t="n"/>
      <c r="D5" s="3" t="n"/>
      <c r="E5" s="3" t="n"/>
      <c r="F5" s="41">
        <f>VLOOKUP(A5,ConsolidatedMHrequirementOct25!$A$4:$K$47,4,FALSE)</f>
        <v/>
      </c>
      <c r="G5" s="3">
        <f>ConsolidatedMHrequirementOct25!F5</f>
        <v/>
      </c>
      <c r="H5" s="3">
        <f>ConsolidatedMHrequirementOct25!E5</f>
        <v/>
      </c>
      <c r="I5" s="3">
        <f>ConsolidatedMHrequirementOct25!G5</f>
        <v/>
      </c>
      <c r="J5" s="41">
        <f>VLOOKUP(A5,ConsolidatedMHrequirementOct25!$A$4:$K$47,8,FALSE)</f>
        <v/>
      </c>
      <c r="K5" s="3" t="n"/>
      <c r="L5" s="3">
        <f>J5-K5</f>
        <v/>
      </c>
      <c r="M5" s="69">
        <f>ConsolidatedMHrequirementOct25!I5</f>
        <v/>
      </c>
      <c r="N5" s="69" t="n"/>
      <c r="O5" s="69" t="n"/>
      <c r="P5" s="69" t="n"/>
      <c r="Q5" s="69" t="n"/>
      <c r="R5" s="69" t="n"/>
      <c r="S5" s="69" t="n"/>
      <c r="T5" s="69" t="n"/>
    </row>
    <row r="6" ht="14.5" customFormat="1" customHeight="1" s="34">
      <c r="A6" s="71" t="n">
        <v>7716</v>
      </c>
      <c r="B6" s="3">
        <f>ConsolidatedMHrequirementOct25!B6</f>
        <v/>
      </c>
      <c r="C6" s="3" t="n"/>
      <c r="D6" s="3" t="n"/>
      <c r="E6" s="3" t="n"/>
      <c r="F6" s="41">
        <f>VLOOKUP(A6,ConsolidatedMHrequirementOct25!$A$4:$K$47,4,FALSE)</f>
        <v/>
      </c>
      <c r="G6" s="3">
        <f>ConsolidatedMHrequirementOct25!F6</f>
        <v/>
      </c>
      <c r="H6" s="3">
        <f>ConsolidatedMHrequirementOct25!E6</f>
        <v/>
      </c>
      <c r="I6" s="3">
        <f>ConsolidatedMHrequirementOct25!G6</f>
        <v/>
      </c>
      <c r="J6" s="41">
        <f>VLOOKUP(A6,ConsolidatedMHrequirementOct25!$A$4:$K$47,8,FALSE)</f>
        <v/>
      </c>
      <c r="K6" s="44" t="n"/>
      <c r="L6" s="3">
        <f>J6-K6</f>
        <v/>
      </c>
      <c r="M6" s="69">
        <f>ConsolidatedMHrequirementOct25!I6</f>
        <v/>
      </c>
      <c r="N6" s="69" t="n"/>
      <c r="O6" s="69" t="n"/>
      <c r="P6" s="69" t="n"/>
      <c r="Q6" s="69" t="n"/>
      <c r="R6" s="69" t="n"/>
      <c r="S6" s="69" t="n"/>
      <c r="T6" s="69" t="n"/>
    </row>
    <row r="7" ht="14.5" customFormat="1" customHeight="1" s="34">
      <c r="A7" s="71" t="n">
        <v>8518</v>
      </c>
      <c r="B7" s="3">
        <f>ConsolidatedMHrequirementOct25!B7</f>
        <v/>
      </c>
      <c r="C7" s="3" t="n"/>
      <c r="D7" s="3" t="n"/>
      <c r="E7" s="3" t="n"/>
      <c r="F7" s="41">
        <f>VLOOKUP(A7,ConsolidatedMHrequirementOct25!$A$4:$K$47,4,FALSE)</f>
        <v/>
      </c>
      <c r="G7" s="3">
        <f>ConsolidatedMHrequirementOct25!F7</f>
        <v/>
      </c>
      <c r="H7" s="3">
        <f>ConsolidatedMHrequirementOct25!E7</f>
        <v/>
      </c>
      <c r="I7" s="3">
        <f>ConsolidatedMHrequirementOct25!G7</f>
        <v/>
      </c>
      <c r="J7" s="41">
        <f>VLOOKUP(A7,ConsolidatedMHrequirementOct25!$A$4:$K$47,8,FALSE)</f>
        <v/>
      </c>
      <c r="K7" s="44" t="n"/>
      <c r="L7" s="3">
        <f>J7-K7</f>
        <v/>
      </c>
      <c r="M7" s="69">
        <f>ConsolidatedMHrequirementOct25!I7</f>
        <v/>
      </c>
      <c r="N7" s="69" t="n"/>
      <c r="O7" s="69" t="n"/>
      <c r="P7" s="69" t="n"/>
      <c r="Q7" s="69" t="n"/>
      <c r="R7" s="69" t="n"/>
      <c r="S7" s="69" t="n"/>
      <c r="T7" s="69" t="n"/>
    </row>
    <row r="8" ht="14.5" customFormat="1" customHeight="1" s="34">
      <c r="A8" s="71" t="n">
        <v>8590</v>
      </c>
      <c r="B8" s="3">
        <f>ConsolidatedMHrequirementOct25!B8</f>
        <v/>
      </c>
      <c r="C8" s="3" t="n"/>
      <c r="D8" s="3" t="n"/>
      <c r="E8" s="3" t="n"/>
      <c r="F8" s="41">
        <f>VLOOKUP(A8,ConsolidatedMHrequirementOct25!$A$4:$K$47,4,FALSE)</f>
        <v/>
      </c>
      <c r="G8" s="3">
        <f>ConsolidatedMHrequirementOct25!F8</f>
        <v/>
      </c>
      <c r="H8" s="3">
        <f>ConsolidatedMHrequirementOct25!E8</f>
        <v/>
      </c>
      <c r="I8" s="3">
        <f>ConsolidatedMHrequirementOct25!G8</f>
        <v/>
      </c>
      <c r="J8" s="41">
        <f>VLOOKUP(A8,ConsolidatedMHrequirementOct25!$A$4:$K$47,8,FALSE)</f>
        <v/>
      </c>
      <c r="K8" s="44" t="n"/>
      <c r="L8" s="3">
        <f>J8-K8</f>
        <v/>
      </c>
      <c r="M8" s="69">
        <f>ConsolidatedMHrequirementOct25!I8</f>
        <v/>
      </c>
      <c r="N8" s="69" t="n"/>
      <c r="O8" s="69" t="n"/>
      <c r="P8" s="69" t="n"/>
      <c r="Q8" s="69" t="n"/>
      <c r="R8" s="69" t="n"/>
      <c r="S8" s="69" t="n"/>
      <c r="T8" s="69" t="n"/>
    </row>
    <row r="9" customFormat="1" s="34">
      <c r="A9" s="10" t="inlineStr">
        <is>
          <t>B016</t>
        </is>
      </c>
      <c r="B9" s="3">
        <f>ConsolidatedMHrequirementOct25!B9</f>
        <v/>
      </c>
      <c r="C9" s="41" t="n"/>
      <c r="D9" s="41" t="n"/>
      <c r="E9" s="41" t="n"/>
      <c r="F9" s="41">
        <f>VLOOKUP(A9,ConsolidatedMHrequirementOct25!$A$4:$K$47,4,FALSE)</f>
        <v/>
      </c>
      <c r="G9" s="3">
        <f>ConsolidatedMHrequirementOct25!F9</f>
        <v/>
      </c>
      <c r="H9" s="3">
        <f>ConsolidatedMHrequirementOct25!E9</f>
        <v/>
      </c>
      <c r="I9" s="3">
        <f>ConsolidatedMHrequirementOct25!G9</f>
        <v/>
      </c>
      <c r="J9" s="41">
        <f>VLOOKUP(A9,ConsolidatedMHrequirementOct25!$A$4:$K$47,8,FALSE)</f>
        <v/>
      </c>
      <c r="K9" s="44" t="n"/>
      <c r="L9" s="3">
        <f>J9-K9</f>
        <v/>
      </c>
      <c r="M9" s="84">
        <f>ConsolidatedMHrequirementOct25!I9</f>
        <v/>
      </c>
      <c r="N9" s="69" t="n"/>
      <c r="O9" s="69" t="n"/>
      <c r="P9" s="69" t="n"/>
      <c r="Q9" s="69" t="n"/>
      <c r="R9" s="69" t="n"/>
      <c r="S9" s="69" t="n"/>
      <c r="T9" s="69" t="n"/>
    </row>
    <row r="10" ht="15" customFormat="1" customHeight="1" s="34">
      <c r="A10" s="10" t="inlineStr">
        <is>
          <t>B035</t>
        </is>
      </c>
      <c r="B10" s="3">
        <f>ConsolidatedMHrequirementOct25!B10</f>
        <v/>
      </c>
      <c r="C10" s="41" t="n"/>
      <c r="D10" s="41" t="n"/>
      <c r="E10" s="41" t="n"/>
      <c r="F10" s="41">
        <f>VLOOKUP(A10,ConsolidatedMHrequirementOct25!$A$4:$K$47,4,FALSE)</f>
        <v/>
      </c>
      <c r="G10" s="3">
        <f>ConsolidatedMHrequirementOct25!F10</f>
        <v/>
      </c>
      <c r="H10" s="3">
        <f>ConsolidatedMHrequirementOct25!E10</f>
        <v/>
      </c>
      <c r="I10" s="3">
        <f>ConsolidatedMHrequirementOct25!G10</f>
        <v/>
      </c>
      <c r="J10" s="41">
        <f>VLOOKUP(A10,ConsolidatedMHrequirementOct25!$A$4:$K$47,8,FALSE)</f>
        <v/>
      </c>
      <c r="K10" s="41" t="n"/>
      <c r="L10" s="3">
        <f>J10-K10</f>
        <v/>
      </c>
      <c r="M10" s="84">
        <f>ConsolidatedMHrequirementOct25!I10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t="16.5" customFormat="1" customHeight="1" s="34">
      <c r="A11" s="10" t="inlineStr">
        <is>
          <t>B038</t>
        </is>
      </c>
      <c r="B11" s="3">
        <f>ConsolidatedMHrequirementOct25!B11</f>
        <v/>
      </c>
      <c r="C11" s="41" t="n"/>
      <c r="D11" s="41" t="n"/>
      <c r="E11" s="41" t="n"/>
      <c r="F11" s="41">
        <f>VLOOKUP(A11,ConsolidatedMHrequirementOct25!$A$4:$K$47,4,FALSE)</f>
        <v/>
      </c>
      <c r="G11" s="3">
        <f>ConsolidatedMHrequirementOct25!F11</f>
        <v/>
      </c>
      <c r="H11" s="3">
        <f>ConsolidatedMHrequirementOct25!E11</f>
        <v/>
      </c>
      <c r="I11" s="3">
        <f>ConsolidatedMHrequirementOct25!G11</f>
        <v/>
      </c>
      <c r="J11" s="41">
        <f>VLOOKUP(A11,ConsolidatedMHrequirementOct25!$A$4:$K$47,8,FALSE)</f>
        <v/>
      </c>
      <c r="K11" s="41" t="n"/>
      <c r="L11" s="3">
        <f>J11-K11</f>
        <v/>
      </c>
      <c r="M11" s="69" t="inlineStr">
        <is>
          <t>1order OCS</t>
        </is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customFormat="1" s="34">
      <c r="A12" s="10" t="inlineStr">
        <is>
          <t>B058</t>
        </is>
      </c>
      <c r="B12" s="3">
        <f>ConsolidatedMHrequirementOct25!B12</f>
        <v/>
      </c>
      <c r="C12" s="41" t="n"/>
      <c r="D12" s="41" t="n"/>
      <c r="E12" s="41" t="n"/>
      <c r="F12" s="41">
        <f>VLOOKUP(A12,ConsolidatedMHrequirementOct25!$A$4:$K$47,4,FALSE)</f>
        <v/>
      </c>
      <c r="G12" s="3">
        <f>ConsolidatedMHrequirementOct25!F12</f>
        <v/>
      </c>
      <c r="H12" s="3">
        <f>ConsolidatedMHrequirementOct25!E12</f>
        <v/>
      </c>
      <c r="I12" s="3">
        <f>ConsolidatedMHrequirementOct25!G12</f>
        <v/>
      </c>
      <c r="J12" s="41">
        <f>VLOOKUP(A12,ConsolidatedMHrequirementOct25!$A$4:$K$47,8,FALSE)</f>
        <v/>
      </c>
      <c r="K12" s="41" t="n"/>
      <c r="L12" s="3">
        <f>J12-K12</f>
        <v/>
      </c>
      <c r="M12" s="69">
        <f>ConsolidatedMHrequirementOct25!I12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ConsolidatedMHrequirementOct25!B13</f>
        <v/>
      </c>
      <c r="C13" s="3" t="n"/>
      <c r="D13" s="3" t="n"/>
      <c r="E13" s="3" t="n"/>
      <c r="F13" s="41">
        <f>VLOOKUP(A13,ConsolidatedMHrequirementOct25!$A$4:$K$47,4,FALSE)</f>
        <v/>
      </c>
      <c r="G13" s="3">
        <f>ConsolidatedMHrequirementOct25!F13</f>
        <v/>
      </c>
      <c r="H13" s="3">
        <f>ConsolidatedMHrequirementOct25!E13</f>
        <v/>
      </c>
      <c r="I13" s="3">
        <f>ConsolidatedMHrequirementOct25!G13</f>
        <v/>
      </c>
      <c r="J13" s="41">
        <f>VLOOKUP(A13,ConsolidatedMHrequirementOct25!$A$4:$K$47,8,FALSE)</f>
        <v/>
      </c>
      <c r="K13" s="44" t="n">
        <v>96</v>
      </c>
      <c r="L13" s="3">
        <f>J13-K13</f>
        <v/>
      </c>
      <c r="M13" s="69">
        <f>ConsolidatedMHrequirementOct25!I13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customFormat="1" s="34">
      <c r="A14" s="10" t="inlineStr">
        <is>
          <t>B229</t>
        </is>
      </c>
      <c r="B14" s="3">
        <f>ConsolidatedMHrequirementOct25!B14</f>
        <v/>
      </c>
      <c r="C14" s="41" t="n"/>
      <c r="D14" s="41" t="n"/>
      <c r="E14" s="41" t="n"/>
      <c r="F14" s="41">
        <f>VLOOKUP(A14,ConsolidatedMHrequirementOct25!$A$4:$K$47,4,FALSE)</f>
        <v/>
      </c>
      <c r="G14" s="3">
        <f>ConsolidatedMHrequirementOct25!F14</f>
        <v/>
      </c>
      <c r="H14" s="3">
        <f>ConsolidatedMHrequirementOct25!E14</f>
        <v/>
      </c>
      <c r="I14" s="3">
        <f>ConsolidatedMHrequirementOct25!G14</f>
        <v/>
      </c>
      <c r="J14" s="41">
        <f>VLOOKUP(A14,ConsolidatedMHrequirementOct25!$A$4:$K$47,8,FALSE)</f>
        <v/>
      </c>
      <c r="K14" s="41" t="n"/>
      <c r="L14" s="3">
        <f>J14-K14</f>
        <v/>
      </c>
      <c r="M14" s="69">
        <f>ConsolidatedMHrequirementOct25!I14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ConsolidatedMHrequirementOct25!B15</f>
        <v/>
      </c>
      <c r="C15" s="3" t="n"/>
      <c r="D15" s="3" t="n"/>
      <c r="E15" s="3" t="n"/>
      <c r="F15" s="41">
        <f>VLOOKUP(A15,ConsolidatedMHrequirementOct25!$A$4:$K$47,4,FALSE)</f>
        <v/>
      </c>
      <c r="G15" s="3">
        <f>ConsolidatedMHrequirementOct25!F15</f>
        <v/>
      </c>
      <c r="H15" s="3">
        <f>ConsolidatedMHrequirementOct25!E15</f>
        <v/>
      </c>
      <c r="I15" s="3">
        <f>ConsolidatedMHrequirementOct25!G15</f>
        <v/>
      </c>
      <c r="J15" s="41">
        <f>VLOOKUP(A15,ConsolidatedMHrequirementOct25!$A$4:$K$47,8,FALSE)</f>
        <v/>
      </c>
      <c r="K15" s="41" t="n">
        <v>14</v>
      </c>
      <c r="L15" s="3">
        <f>J15-K15</f>
        <v/>
      </c>
      <c r="M15" s="69">
        <f>ConsolidatedMHrequirementOct25!I15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customFormat="1" s="34">
      <c r="A16" s="10" t="inlineStr">
        <is>
          <t>B285</t>
        </is>
      </c>
      <c r="B16" s="3">
        <f>ConsolidatedMHrequirementOct25!B16</f>
        <v/>
      </c>
      <c r="C16" s="41" t="n"/>
      <c r="D16" s="41" t="n"/>
      <c r="E16" s="41" t="n"/>
      <c r="F16" s="41">
        <f>VLOOKUP(A16,ConsolidatedMHrequirementOct25!$A$4:$K$47,4,FALSE)</f>
        <v/>
      </c>
      <c r="G16" s="3">
        <f>ConsolidatedMHrequirementOct25!F16</f>
        <v/>
      </c>
      <c r="H16" s="3">
        <f>ConsolidatedMHrequirementOct25!E16</f>
        <v/>
      </c>
      <c r="I16" s="3">
        <f>ConsolidatedMHrequirementOct25!G16</f>
        <v/>
      </c>
      <c r="J16" s="41">
        <f>VLOOKUP(A16,ConsolidatedMHrequirementOct25!$A$4:$K$47,8,FALSE)</f>
        <v/>
      </c>
      <c r="K16" s="41" t="n"/>
      <c r="L16" s="3">
        <f>J16-K16</f>
        <v/>
      </c>
      <c r="M16" s="69">
        <f>ConsolidatedMHrequirementOct25!I16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ConsolidatedMHrequirementOct25!B17</f>
        <v/>
      </c>
      <c r="C17" s="41" t="n"/>
      <c r="D17" s="41" t="n"/>
      <c r="E17" s="41" t="n"/>
      <c r="F17" s="41">
        <f>VLOOKUP(A17,ConsolidatedMHrequirementOct25!$A$4:$K$47,4,FALSE)</f>
        <v/>
      </c>
      <c r="G17" s="3">
        <f>ConsolidatedMHrequirementOct25!F17</f>
        <v/>
      </c>
      <c r="H17" s="3">
        <f>ConsolidatedMHrequirementOct25!E17</f>
        <v/>
      </c>
      <c r="I17" s="3">
        <f>ConsolidatedMHrequirementOct25!G17</f>
        <v/>
      </c>
      <c r="J17" s="41">
        <f>VLOOKUP(A17,ConsolidatedMHrequirementOct25!$A$4:$K$47,8,FALSE)</f>
        <v/>
      </c>
      <c r="K17" s="41" t="n"/>
      <c r="L17" s="3">
        <f>J17-K17</f>
        <v/>
      </c>
      <c r="M17" s="69">
        <f>ConsolidatedMHrequirementOct25!I17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ConsolidatedMHrequirementOct25!B18</f>
        <v/>
      </c>
      <c r="C18" s="41" t="n"/>
      <c r="D18" s="41" t="n"/>
      <c r="E18" s="41" t="n"/>
      <c r="F18" s="41">
        <f>VLOOKUP(A18,ConsolidatedMHrequirementOct25!$A$4:$K$47,4,FALSE)</f>
        <v/>
      </c>
      <c r="G18" s="3">
        <f>ConsolidatedMHrequirementOct25!F18</f>
        <v/>
      </c>
      <c r="H18" s="3">
        <f>ConsolidatedMHrequirementOct25!E18</f>
        <v/>
      </c>
      <c r="I18" s="3">
        <f>ConsolidatedMHrequirementOct25!G18</f>
        <v/>
      </c>
      <c r="J18" s="41">
        <f>VLOOKUP(A18,ConsolidatedMHrequirementOct25!$A$4:$K$47,8,FALSE)</f>
        <v/>
      </c>
      <c r="K18" s="41" t="n"/>
      <c r="L18" s="3">
        <f>J18-K18</f>
        <v/>
      </c>
      <c r="M18" s="69">
        <f>ConsolidatedMHrequirementOct25!I18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t="15" customFormat="1" customHeight="1" s="34">
      <c r="A19" s="10" t="inlineStr">
        <is>
          <t>B348</t>
        </is>
      </c>
      <c r="B19" s="3">
        <f>ConsolidatedMHrequirementOct25!B19</f>
        <v/>
      </c>
      <c r="C19" s="41" t="n"/>
      <c r="D19" s="41" t="n"/>
      <c r="E19" s="41" t="n"/>
      <c r="F19" s="41">
        <f>VLOOKUP(A19,ConsolidatedMHrequirementOct25!$A$4:$K$47,4,FALSE)</f>
        <v/>
      </c>
      <c r="G19" s="3">
        <f>ConsolidatedMHrequirementOct25!F19</f>
        <v/>
      </c>
      <c r="H19" s="3">
        <f>ConsolidatedMHrequirementOct25!E19</f>
        <v/>
      </c>
      <c r="I19" s="3">
        <f>ConsolidatedMHrequirementOct25!G19</f>
        <v/>
      </c>
      <c r="J19" s="41">
        <f>VLOOKUP(A19,ConsolidatedMHrequirementOct25!$A$4:$K$47,8,FALSE)</f>
        <v/>
      </c>
      <c r="K19" s="41" t="n">
        <v>36</v>
      </c>
      <c r="L19" s="3">
        <f>J19-K19</f>
        <v/>
      </c>
      <c r="M19" s="69">
        <f>ConsolidatedMHrequirementOct25!I19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t="15.5" customFormat="1" customHeight="1" s="34">
      <c r="A20" s="10" t="inlineStr">
        <is>
          <t>B359</t>
        </is>
      </c>
      <c r="B20" s="3">
        <f>ConsolidatedMHrequirementOct25!B20</f>
        <v/>
      </c>
      <c r="C20" s="41" t="n"/>
      <c r="D20" s="41" t="n"/>
      <c r="E20" s="41" t="n"/>
      <c r="F20" s="41">
        <f>VLOOKUP(A20,ConsolidatedMHrequirementOct25!$A$4:$K$47,4,FALSE)</f>
        <v/>
      </c>
      <c r="G20" s="3">
        <f>ConsolidatedMHrequirementOct25!F20</f>
        <v/>
      </c>
      <c r="H20" s="3">
        <f>ConsolidatedMHrequirementOct25!E20</f>
        <v/>
      </c>
      <c r="I20" s="3">
        <f>ConsolidatedMHrequirementOct25!G20</f>
        <v/>
      </c>
      <c r="J20" s="41">
        <f>VLOOKUP(A20,ConsolidatedMHrequirementOct25!$A$4:$K$47,8,FALSE)</f>
        <v/>
      </c>
      <c r="K20" s="41" t="n"/>
      <c r="L20" s="3">
        <f>J20-K20</f>
        <v/>
      </c>
      <c r="M20" s="69">
        <f>ConsolidatedMHrequirementOct25!I20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t="15" customFormat="1" customHeight="1" s="34">
      <c r="A21" s="10" t="inlineStr">
        <is>
          <t>B378</t>
        </is>
      </c>
      <c r="B21" s="3">
        <f>ConsolidatedMHrequirementOct25!B21</f>
        <v/>
      </c>
      <c r="C21" s="41" t="n"/>
      <c r="D21" s="41" t="n"/>
      <c r="E21" s="41" t="n"/>
      <c r="F21" s="41">
        <f>VLOOKUP(A21,ConsolidatedMHrequirementOct25!$A$4:$K$47,4,FALSE)</f>
        <v/>
      </c>
      <c r="G21" s="3">
        <f>ConsolidatedMHrequirementOct25!F21</f>
        <v/>
      </c>
      <c r="H21" s="3">
        <f>ConsolidatedMHrequirementOct25!E21</f>
        <v/>
      </c>
      <c r="I21" s="3">
        <f>ConsolidatedMHrequirementOct25!G21</f>
        <v/>
      </c>
      <c r="J21" s="41">
        <f>VLOOKUP(A21,ConsolidatedMHrequirementOct25!$A$4:$K$47,8,FALSE)</f>
        <v/>
      </c>
      <c r="K21" s="44" t="n">
        <v>126</v>
      </c>
      <c r="L21" s="3">
        <f>J21-K21</f>
        <v/>
      </c>
      <c r="M21" s="69">
        <f>ConsolidatedMHrequirementOct25!I21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B414</t>
        </is>
      </c>
      <c r="B22" s="3">
        <f>ConsolidatedMHrequirementOct25!B22</f>
        <v/>
      </c>
      <c r="C22" s="41" t="n"/>
      <c r="D22" s="41" t="n"/>
      <c r="E22" s="41" t="n"/>
      <c r="F22" s="41">
        <f>VLOOKUP(A22,ConsolidatedMHrequirementOct25!$A$4:$K$47,4,FALSE)</f>
        <v/>
      </c>
      <c r="G22" s="3">
        <f>ConsolidatedMHrequirementOct25!F22</f>
        <v/>
      </c>
      <c r="H22" s="3">
        <f>ConsolidatedMHrequirementOct25!E22</f>
        <v/>
      </c>
      <c r="I22" s="3">
        <f>ConsolidatedMHrequirementOct25!G22</f>
        <v/>
      </c>
      <c r="J22" s="41">
        <f>VLOOKUP(A22,ConsolidatedMHrequirementOct25!$A$4:$K$47,8,FALSE)</f>
        <v/>
      </c>
      <c r="K22" s="41" t="n"/>
      <c r="L22" s="3">
        <f>J22-K22</f>
        <v/>
      </c>
      <c r="M22" s="69">
        <f>ConsolidatedMHrequirementOct25!I22</f>
        <v/>
      </c>
      <c r="N22" s="69" t="n"/>
      <c r="O22" s="69" t="n"/>
      <c r="P22" s="69" t="n"/>
      <c r="Q22" s="69" t="n"/>
      <c r="R22" s="69" t="n"/>
      <c r="S22" s="69" t="n"/>
      <c r="T22" s="69" t="n"/>
      <c r="V22" s="48" t="n"/>
      <c r="W22" s="48" t="n"/>
      <c r="X22" s="48" t="n"/>
      <c r="Y22" s="48" t="n"/>
    </row>
    <row r="23" ht="15" customFormat="1" customHeight="1" s="34">
      <c r="A23" s="10" t="inlineStr">
        <is>
          <t>B436</t>
        </is>
      </c>
      <c r="B23" s="3">
        <f>ConsolidatedMHrequirementOct25!B23</f>
        <v/>
      </c>
      <c r="C23" s="41" t="n"/>
      <c r="D23" s="41" t="n"/>
      <c r="E23" s="41" t="n"/>
      <c r="F23" s="41">
        <f>VLOOKUP(A23,ConsolidatedMHrequirementOct25!$A$4:$K$47,4,FALSE)</f>
        <v/>
      </c>
      <c r="G23" s="3">
        <f>ConsolidatedMHrequirementOct25!F23</f>
        <v/>
      </c>
      <c r="H23" s="3">
        <f>ConsolidatedMHrequirementOct25!E23</f>
        <v/>
      </c>
      <c r="I23" s="3">
        <f>ConsolidatedMHrequirementOct25!G23</f>
        <v/>
      </c>
      <c r="J23" s="41">
        <f>VLOOKUP(A23,ConsolidatedMHrequirementOct25!$A$4:$K$47,8,FALSE)</f>
        <v/>
      </c>
      <c r="K23" s="41" t="n"/>
      <c r="L23" s="3">
        <f>J23-K23</f>
        <v/>
      </c>
      <c r="M23" s="69">
        <f>ConsolidatedMHrequirementOct25!I23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t="15" customFormat="1" customHeight="1" s="34">
      <c r="A24" s="10" t="inlineStr">
        <is>
          <t>B440</t>
        </is>
      </c>
      <c r="B24" s="3">
        <f>ConsolidatedMHrequirementOct25!B24</f>
        <v/>
      </c>
      <c r="C24" s="41" t="n"/>
      <c r="D24" s="41" t="n"/>
      <c r="E24" s="41" t="n"/>
      <c r="F24" s="41">
        <f>VLOOKUP(A24,ConsolidatedMHrequirementOct25!$A$4:$K$47,4,FALSE)</f>
        <v/>
      </c>
      <c r="G24" s="3">
        <f>ConsolidatedMHrequirementOct25!F24</f>
        <v/>
      </c>
      <c r="H24" s="3">
        <f>ConsolidatedMHrequirementOct25!E24</f>
        <v/>
      </c>
      <c r="I24" s="3">
        <f>ConsolidatedMHrequirementOct25!G24</f>
        <v/>
      </c>
      <c r="J24" s="41">
        <f>VLOOKUP(A24,ConsolidatedMHrequirementOct25!$A$4:$K$47,8,FALSE)</f>
        <v/>
      </c>
      <c r="K24" s="41" t="n">
        <v>40</v>
      </c>
      <c r="L24" s="3">
        <f>J24-K24</f>
        <v/>
      </c>
      <c r="M24" s="69">
        <f>ConsolidatedMHrequirementOct25!I24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t="15" customFormat="1" customHeight="1" s="34">
      <c r="A25" s="10" t="inlineStr">
        <is>
          <t>B448</t>
        </is>
      </c>
      <c r="B25" s="3">
        <f>ConsolidatedMHrequirementOct25!B25</f>
        <v/>
      </c>
      <c r="C25" s="41" t="n"/>
      <c r="D25" s="41" t="n"/>
      <c r="E25" s="41" t="n"/>
      <c r="F25" s="41">
        <f>VLOOKUP(A25,ConsolidatedMHrequirementOct25!$A$4:$K$47,4,FALSE)</f>
        <v/>
      </c>
      <c r="G25" s="3">
        <f>ConsolidatedMHrequirementOct25!F25</f>
        <v/>
      </c>
      <c r="H25" s="3">
        <f>ConsolidatedMHrequirementOct25!E25</f>
        <v/>
      </c>
      <c r="I25" s="3">
        <f>ConsolidatedMHrequirementOct25!G25</f>
        <v/>
      </c>
      <c r="J25" s="41">
        <f>VLOOKUP(A25,ConsolidatedMHrequirementOct25!$A$4:$K$47,8,FALSE)</f>
        <v/>
      </c>
      <c r="K25" s="41" t="n"/>
      <c r="L25" s="3">
        <f>J25-K25</f>
        <v/>
      </c>
      <c r="M25" s="69">
        <f>ConsolidatedMHrequirementOct25!I25</f>
        <v/>
      </c>
      <c r="N25" s="69" t="n"/>
      <c r="O25" s="69" t="n"/>
      <c r="P25" s="69" t="n"/>
      <c r="Q25" s="69" t="n"/>
      <c r="R25" s="69" t="n"/>
      <c r="S25" s="69" t="n"/>
      <c r="T25" s="69" t="n"/>
      <c r="V25" s="34" t="inlineStr">
        <is>
          <t xml:space="preserve"> </t>
        </is>
      </c>
      <c r="W25" s="34" t="inlineStr">
        <is>
          <t xml:space="preserve"> </t>
        </is>
      </c>
      <c r="X25" s="34" t="inlineStr">
        <is>
          <t xml:space="preserve"> </t>
        </is>
      </c>
      <c r="Y25" s="34" t="inlineStr">
        <is>
          <t xml:space="preserve"> </t>
        </is>
      </c>
    </row>
    <row r="26" ht="15" customFormat="1" customHeight="1" s="34">
      <c r="A26" s="10" t="inlineStr">
        <is>
          <t>B519</t>
        </is>
      </c>
      <c r="B26" s="3">
        <f>ConsolidatedMHrequirementOct25!B26</f>
        <v/>
      </c>
      <c r="C26" s="3" t="n"/>
      <c r="D26" s="3" t="n"/>
      <c r="E26" s="3" t="n"/>
      <c r="F26" s="41">
        <f>VLOOKUP(A26,ConsolidatedMHrequirementOct25!$A$4:$K$47,4,FALSE)</f>
        <v/>
      </c>
      <c r="G26" s="3">
        <f>ConsolidatedMHrequirementOct25!F26</f>
        <v/>
      </c>
      <c r="H26" s="3">
        <f>ConsolidatedMHrequirementOct25!E26</f>
        <v/>
      </c>
      <c r="I26" s="3">
        <f>ConsolidatedMHrequirementOct25!G26</f>
        <v/>
      </c>
      <c r="J26" s="41">
        <f>VLOOKUP(A26,ConsolidatedMHrequirementOct25!$A$4:$K$47,8,FALSE)</f>
        <v/>
      </c>
      <c r="K26" s="41" t="n"/>
      <c r="L26" s="3">
        <f>J26-K26</f>
        <v/>
      </c>
      <c r="M26" s="69">
        <f>ConsolidatedMHrequirementOct25!I26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 xml:space="preserve"> </t>
        </is>
      </c>
      <c r="W26" s="34" t="inlineStr">
        <is>
          <t xml:space="preserve"> </t>
        </is>
      </c>
    </row>
    <row r="27">
      <c r="A27" s="10" t="inlineStr">
        <is>
          <t>B548</t>
        </is>
      </c>
      <c r="B27" s="3">
        <f>ConsolidatedMHrequirementOct25!B27</f>
        <v/>
      </c>
      <c r="C27" s="41" t="n"/>
      <c r="D27" s="41" t="n"/>
      <c r="E27" s="41" t="n"/>
      <c r="F27" s="41">
        <f>VLOOKUP(A27,ConsolidatedMHrequirementOct25!$A$4:$K$47,4,FALSE)</f>
        <v/>
      </c>
      <c r="G27" s="3">
        <f>ConsolidatedMHrequirementOct25!F27</f>
        <v/>
      </c>
      <c r="H27" s="3">
        <f>ConsolidatedMHrequirementOct25!E27</f>
        <v/>
      </c>
      <c r="I27" s="3">
        <f>ConsolidatedMHrequirementOct25!G27</f>
        <v/>
      </c>
      <c r="J27" s="41">
        <f>VLOOKUP(A27,ConsolidatedMHrequirementOct25!$A$4:$K$47,8,FALSE)</f>
        <v/>
      </c>
      <c r="K27" s="41" t="n"/>
      <c r="L27" s="3">
        <f>J27-K27</f>
        <v/>
      </c>
      <c r="M27" s="69">
        <f>ConsolidatedMHrequirementOct25!I27</f>
        <v/>
      </c>
      <c r="N27" s="69" t="n"/>
      <c r="O27" s="69" t="n"/>
      <c r="P27" s="69" t="n"/>
      <c r="Q27" s="69" t="n"/>
      <c r="R27" s="69" t="n"/>
      <c r="S27" s="69" t="n"/>
      <c r="T27" s="69" t="n"/>
    </row>
    <row r="28" ht="15" customFormat="1" customHeight="1" s="34">
      <c r="A28" s="10" t="inlineStr">
        <is>
          <t>B559</t>
        </is>
      </c>
      <c r="B28" s="3">
        <f>ConsolidatedMHrequirementOct25!B28</f>
        <v/>
      </c>
      <c r="C28" s="3" t="n"/>
      <c r="D28" s="3" t="n"/>
      <c r="E28" s="3" t="n"/>
      <c r="F28" s="41">
        <f>VLOOKUP(A28,ConsolidatedMHrequirementOct25!$A$4:$K$47,4,FALSE)</f>
        <v/>
      </c>
      <c r="G28" s="3">
        <f>ConsolidatedMHrequirementOct25!F28</f>
        <v/>
      </c>
      <c r="H28" s="3">
        <f>ConsolidatedMHrequirementOct25!E28</f>
        <v/>
      </c>
      <c r="I28" s="3">
        <f>ConsolidatedMHrequirementOct25!G28</f>
        <v/>
      </c>
      <c r="J28" s="41">
        <f>VLOOKUP(A28,ConsolidatedMHrequirementOct25!$A$4:$K$47,8,FALSE)</f>
        <v/>
      </c>
      <c r="K28" s="41" t="n">
        <v>8</v>
      </c>
      <c r="L28" s="3">
        <f>J28-K28</f>
        <v/>
      </c>
      <c r="M28" s="69">
        <f>ConsolidatedMHrequirementOct25!I28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t="15" customFormat="1" customHeight="1" s="34">
      <c r="A29" s="10" t="inlineStr">
        <is>
          <t>B560</t>
        </is>
      </c>
      <c r="B29" s="3">
        <f>ConsolidatedMHrequirementOct25!B29</f>
        <v/>
      </c>
      <c r="C29" s="41" t="n"/>
      <c r="D29" s="41" t="n"/>
      <c r="E29" s="41" t="n"/>
      <c r="F29" s="41">
        <f>VLOOKUP(A29,ConsolidatedMHrequirementOct25!$A$4:$K$47,4,FALSE)</f>
        <v/>
      </c>
      <c r="G29" s="3">
        <f>ConsolidatedMHrequirementOct25!F29</f>
        <v/>
      </c>
      <c r="H29" s="3">
        <f>ConsolidatedMHrequirementOct25!E29</f>
        <v/>
      </c>
      <c r="I29" s="3">
        <f>ConsolidatedMHrequirementOct25!G29</f>
        <v/>
      </c>
      <c r="J29" s="41">
        <f>VLOOKUP(A29,ConsolidatedMHrequirementOct25!$A$4:$K$47,8,FALSE)</f>
        <v/>
      </c>
      <c r="K29" s="41" t="n"/>
      <c r="L29" s="3">
        <f>J29-K29</f>
        <v/>
      </c>
      <c r="M29" s="69">
        <f>ConsolidatedMHrequirementOct25!I29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>
      <c r="A30" s="10" t="inlineStr">
        <is>
          <t>B589</t>
        </is>
      </c>
      <c r="B30" s="3">
        <f>ConsolidatedMHrequirementOct25!B30</f>
        <v/>
      </c>
      <c r="C30" s="3" t="n"/>
      <c r="D30" s="3" t="n"/>
      <c r="E30" s="3" t="n"/>
      <c r="F30" s="41">
        <f>VLOOKUP(A30,ConsolidatedMHrequirementOct25!$A$4:$K$47,4,FALSE)</f>
        <v/>
      </c>
      <c r="G30" s="3">
        <f>ConsolidatedMHrequirementOct25!F30</f>
        <v/>
      </c>
      <c r="H30" s="3">
        <f>ConsolidatedMHrequirementOct25!E30</f>
        <v/>
      </c>
      <c r="I30" s="3">
        <f>ConsolidatedMHrequirementOct25!G30</f>
        <v/>
      </c>
      <c r="J30" s="41">
        <f>VLOOKUP(A30,ConsolidatedMHrequirementOct25!$A$4:$K$47,8,FALSE)</f>
        <v/>
      </c>
      <c r="K30" s="41" t="n"/>
      <c r="L30" s="3">
        <f>J30-K30</f>
        <v/>
      </c>
      <c r="M30" s="69">
        <f>ConsolidatedMHrequirementOct25!I30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customFormat="1" s="34">
      <c r="A31" s="10" t="inlineStr">
        <is>
          <t>B650</t>
        </is>
      </c>
      <c r="B31" s="3">
        <f>ConsolidatedMHrequirementOct25!B31</f>
        <v/>
      </c>
      <c r="C31" s="3" t="n"/>
      <c r="D31" s="3" t="n"/>
      <c r="E31" s="3" t="n"/>
      <c r="F31" s="41">
        <f>VLOOKUP(A31,ConsolidatedMHrequirementOct25!$A$4:$K$47,4,FALSE)</f>
        <v/>
      </c>
      <c r="G31" s="3">
        <f>ConsolidatedMHrequirementOct25!F31</f>
        <v/>
      </c>
      <c r="H31" s="3">
        <f>ConsolidatedMHrequirementOct25!E31</f>
        <v/>
      </c>
      <c r="I31" s="3">
        <f>ConsolidatedMHrequirementOct25!G31</f>
        <v/>
      </c>
      <c r="J31" s="41">
        <f>VLOOKUP(A31,ConsolidatedMHrequirementOct25!$A$4:$K$47,8,FALSE)</f>
        <v/>
      </c>
      <c r="K31" s="41" t="n"/>
      <c r="L31" s="3">
        <f>J31-K31</f>
        <v/>
      </c>
      <c r="M31" s="69">
        <f>ConsolidatedMHrequirementOct25!I31</f>
        <v/>
      </c>
      <c r="N31" s="69" t="n"/>
      <c r="O31" s="69" t="n"/>
      <c r="P31" s="69" t="n"/>
      <c r="Q31" s="69" t="n"/>
      <c r="R31" s="69" t="n"/>
      <c r="S31" s="69" t="n"/>
      <c r="T31" s="69" t="n"/>
      <c r="X31" s="34" t="inlineStr">
        <is>
          <t xml:space="preserve"> </t>
        </is>
      </c>
    </row>
    <row r="32" ht="15" customFormat="1" customHeight="1" s="34">
      <c r="A32" s="10" t="inlineStr">
        <is>
          <t>B653</t>
        </is>
      </c>
      <c r="B32" s="3">
        <f>ConsolidatedMHrequirementOct25!B32</f>
        <v/>
      </c>
      <c r="C32" s="3" t="n"/>
      <c r="D32" s="3" t="n"/>
      <c r="E32" s="3" t="n"/>
      <c r="F32" s="41">
        <f>VLOOKUP(A32,ConsolidatedMHrequirementOct25!$A$4:$K$47,4,FALSE)</f>
        <v/>
      </c>
      <c r="G32" s="3">
        <f>ConsolidatedMHrequirementOct25!F32</f>
        <v/>
      </c>
      <c r="H32" s="3">
        <f>ConsolidatedMHrequirementOct25!E32</f>
        <v/>
      </c>
      <c r="I32" s="3">
        <f>ConsolidatedMHrequirementOct25!G32</f>
        <v/>
      </c>
      <c r="J32" s="41">
        <f>VLOOKUP(A32,ConsolidatedMHrequirementOct25!$A$4:$K$47,8,FALSE)</f>
        <v/>
      </c>
      <c r="K32" s="41" t="n">
        <v>32</v>
      </c>
      <c r="L32" s="3">
        <f>J32-K32</f>
        <v/>
      </c>
      <c r="M32" s="69">
        <f>ConsolidatedMHrequirementOct25!I32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ht="14.5" customFormat="1" customHeight="1" s="34">
      <c r="A33" s="10" t="inlineStr">
        <is>
          <t>B725</t>
        </is>
      </c>
      <c r="B33" s="3">
        <f>ConsolidatedMHrequirementOct25!B33</f>
        <v/>
      </c>
      <c r="C33" s="3" t="n"/>
      <c r="D33" s="3" t="n"/>
      <c r="E33" s="3" t="n"/>
      <c r="F33" s="41">
        <f>VLOOKUP(A33,ConsolidatedMHrequirementOct25!$A$4:$K$47,4,FALSE)</f>
        <v/>
      </c>
      <c r="G33" s="3">
        <f>ConsolidatedMHrequirementOct25!F33</f>
        <v/>
      </c>
      <c r="H33" s="3">
        <f>ConsolidatedMHrequirementOct25!E33</f>
        <v/>
      </c>
      <c r="I33" s="3">
        <f>ConsolidatedMHrequirementOct25!G33</f>
        <v/>
      </c>
      <c r="J33" s="41">
        <f>VLOOKUP(A33,ConsolidatedMHrequirementOct25!$A$4:$K$47,8,FALSE)</f>
        <v/>
      </c>
      <c r="K33" s="41" t="n"/>
      <c r="L33" s="3">
        <f>J33-K33</f>
        <v/>
      </c>
      <c r="M33" s="69">
        <f>ConsolidatedMHrequirementOct25!I33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ht="14.5" customFormat="1" customHeight="1" s="34">
      <c r="A34" s="10" t="inlineStr">
        <is>
          <t>B767</t>
        </is>
      </c>
      <c r="B34" s="3">
        <f>ConsolidatedMHrequirementOct25!B34</f>
        <v/>
      </c>
      <c r="C34" s="3" t="n"/>
      <c r="D34" s="3" t="n"/>
      <c r="E34" s="3" t="n"/>
      <c r="F34" s="41">
        <f>VLOOKUP(A34,ConsolidatedMHrequirementOct25!$A$4:$K$47,4,FALSE)</f>
        <v/>
      </c>
      <c r="G34" s="3">
        <f>ConsolidatedMHrequirementOct25!F34</f>
        <v/>
      </c>
      <c r="H34" s="3">
        <f>ConsolidatedMHrequirementOct25!E34</f>
        <v/>
      </c>
      <c r="I34" s="3">
        <f>ConsolidatedMHrequirementOct25!G34</f>
        <v/>
      </c>
      <c r="J34" s="41">
        <f>VLOOKUP(A34,ConsolidatedMHrequirementOct25!$A$4:$K$47,8,FALSE)</f>
        <v/>
      </c>
      <c r="K34" s="41" t="n"/>
      <c r="L34" s="3">
        <f>J34-K34</f>
        <v/>
      </c>
      <c r="M34" s="69">
        <f>ConsolidatedMHrequirementOct25!I34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t="14.5" customFormat="1" customHeight="1" s="34">
      <c r="A35" s="10" t="inlineStr">
        <is>
          <t>B795</t>
        </is>
      </c>
      <c r="B35" s="3">
        <f>ConsolidatedMHrequirementOct25!B35</f>
        <v/>
      </c>
      <c r="C35" s="3" t="n"/>
      <c r="D35" s="3" t="n"/>
      <c r="E35" s="3" t="n"/>
      <c r="F35" s="41">
        <f>VLOOKUP(A35,ConsolidatedMHrequirementOct25!$A$4:$K$47,4,FALSE)</f>
        <v/>
      </c>
      <c r="G35" s="3">
        <f>ConsolidatedMHrequirementOct25!F35</f>
        <v/>
      </c>
      <c r="H35" s="3">
        <f>ConsolidatedMHrequirementOct25!E35</f>
        <v/>
      </c>
      <c r="I35" s="3">
        <f>ConsolidatedMHrequirementOct25!G35</f>
        <v/>
      </c>
      <c r="J35" s="41">
        <f>VLOOKUP(A35,ConsolidatedMHrequirementOct25!$A$4:$K$47,8,FALSE)</f>
        <v/>
      </c>
      <c r="K35" s="41" t="n">
        <v>40</v>
      </c>
      <c r="L35" s="3">
        <f>J35-K35</f>
        <v/>
      </c>
      <c r="M35" s="69">
        <f>ConsolidatedMHrequirementOct25!I35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t="14.5" customFormat="1" customHeight="1" s="34">
      <c r="A36" s="10" t="inlineStr">
        <is>
          <t>B813</t>
        </is>
      </c>
      <c r="B36" s="3">
        <f>ConsolidatedMHrequirementOct25!B36</f>
        <v/>
      </c>
      <c r="C36" s="3" t="n"/>
      <c r="D36" s="3" t="n"/>
      <c r="E36" s="3" t="n"/>
      <c r="F36" s="41">
        <f>VLOOKUP(A36,ConsolidatedMHrequirementOct25!$A$4:$K$47,4,FALSE)</f>
        <v/>
      </c>
      <c r="G36" s="3">
        <f>ConsolidatedMHrequirementOct25!F36</f>
        <v/>
      </c>
      <c r="H36" s="3">
        <f>ConsolidatedMHrequirementOct25!E36</f>
        <v/>
      </c>
      <c r="I36" s="3">
        <f>ConsolidatedMHrequirementOct25!G36</f>
        <v/>
      </c>
      <c r="J36" s="41">
        <f>VLOOKUP(A36,ConsolidatedMHrequirementOct25!$A$4:$K$47,8,FALSE)</f>
        <v/>
      </c>
      <c r="K36" s="41" t="n">
        <v>12</v>
      </c>
      <c r="L36" s="3">
        <f>J36-K36</f>
        <v/>
      </c>
      <c r="M36" s="69">
        <f>ConsolidatedMHrequirementOct25!I36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t="14.5" customFormat="1" customHeight="1" s="34">
      <c r="A37" s="10" t="inlineStr">
        <is>
          <t>B861</t>
        </is>
      </c>
      <c r="B37" s="3">
        <f>ConsolidatedMHrequirementOct25!B37</f>
        <v/>
      </c>
      <c r="C37" s="3" t="n"/>
      <c r="D37" s="3" t="n"/>
      <c r="E37" s="3" t="n"/>
      <c r="F37" s="41">
        <f>VLOOKUP(A37,ConsolidatedMHrequirementOct25!$A$4:$K$47,4,FALSE)</f>
        <v/>
      </c>
      <c r="G37" s="3">
        <f>ConsolidatedMHrequirementOct25!F37</f>
        <v/>
      </c>
      <c r="H37" s="3">
        <f>ConsolidatedMHrequirementOct25!E37</f>
        <v/>
      </c>
      <c r="I37" s="3">
        <f>ConsolidatedMHrequirementOct25!G37</f>
        <v/>
      </c>
      <c r="J37" s="41">
        <f>VLOOKUP(A37,ConsolidatedMHrequirementOct25!$A$4:$K$47,8,FALSE)</f>
        <v/>
      </c>
      <c r="K37" s="41" t="n">
        <v>8</v>
      </c>
      <c r="L37" s="3">
        <f>J37-K37</f>
        <v/>
      </c>
      <c r="M37" s="69">
        <f>ConsolidatedMHrequirementOct25!I37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t="22" customFormat="1" customHeight="1" s="34">
      <c r="A38" s="10" t="inlineStr">
        <is>
          <t>B862</t>
        </is>
      </c>
      <c r="B38" s="3">
        <f>ConsolidatedMHrequirementOct25!B38</f>
        <v/>
      </c>
      <c r="C38" s="3" t="n"/>
      <c r="D38" s="3" t="n"/>
      <c r="E38" s="3" t="n"/>
      <c r="F38" s="41">
        <f>VLOOKUP(A38,ConsolidatedMHrequirementOct25!$A$4:$K$47,4,FALSE)</f>
        <v/>
      </c>
      <c r="G38" s="3">
        <f>ConsolidatedMHrequirementOct25!F38</f>
        <v/>
      </c>
      <c r="H38" s="3">
        <f>ConsolidatedMHrequirementOct25!E38</f>
        <v/>
      </c>
      <c r="I38" s="3">
        <f>ConsolidatedMHrequirementOct25!G38</f>
        <v/>
      </c>
      <c r="J38" s="41">
        <f>VLOOKUP(A38,ConsolidatedMHrequirementOct25!$A$4:$K$47,8,FALSE)</f>
        <v/>
      </c>
      <c r="K38" s="41" t="n"/>
      <c r="L38" s="3">
        <f>J38-K38</f>
        <v/>
      </c>
      <c r="M38" s="69">
        <f>ConsolidatedMHrequirementOct25!I38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t="19" customFormat="1" customHeight="1" s="34">
      <c r="A39" s="10" t="inlineStr">
        <is>
          <t>B865</t>
        </is>
      </c>
      <c r="B39" s="3">
        <f>ConsolidatedMHrequirementOct25!B39</f>
        <v/>
      </c>
      <c r="C39" s="3" t="n"/>
      <c r="D39" s="3" t="n"/>
      <c r="E39" s="3" t="n"/>
      <c r="F39" s="41">
        <f>VLOOKUP(A39,ConsolidatedMHrequirementOct25!$A$4:$K$47,4,FALSE)</f>
        <v/>
      </c>
      <c r="G39" s="3">
        <f>ConsolidatedMHrequirementOct25!F39</f>
        <v/>
      </c>
      <c r="H39" s="3">
        <f>ConsolidatedMHrequirementOct25!E39</f>
        <v/>
      </c>
      <c r="I39" s="3">
        <f>ConsolidatedMHrequirementOct25!G39</f>
        <v/>
      </c>
      <c r="J39" s="41">
        <f>VLOOKUP(A39,ConsolidatedMHrequirementOct25!$A$4:$K$47,8,FALSE)</f>
        <v/>
      </c>
      <c r="K39" s="44" t="n"/>
      <c r="L39" s="3">
        <f>J39-K39</f>
        <v/>
      </c>
      <c r="M39" s="69">
        <f>ConsolidatedMHrequirementOct25!I39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t="19" customFormat="1" customHeight="1" s="34">
      <c r="A40" s="10" t="inlineStr">
        <is>
          <t>B895</t>
        </is>
      </c>
      <c r="B40" s="3">
        <f>ConsolidatedMHrequirementOct25!B40</f>
        <v/>
      </c>
      <c r="C40" s="3" t="n"/>
      <c r="D40" s="3" t="n"/>
      <c r="E40" s="3" t="n"/>
      <c r="F40" s="41">
        <f>VLOOKUP(A40,ConsolidatedMHrequirementOct25!$A$4:$K$47,4,FALSE)</f>
        <v/>
      </c>
      <c r="G40" s="3">
        <f>ConsolidatedMHrequirementOct25!F40</f>
        <v/>
      </c>
      <c r="H40" s="3">
        <f>ConsolidatedMHrequirementOct25!E40</f>
        <v/>
      </c>
      <c r="I40" s="3">
        <f>ConsolidatedMHrequirementOct25!G40</f>
        <v/>
      </c>
      <c r="J40" s="41">
        <f>VLOOKUP(A40,ConsolidatedMHrequirementOct25!$A$4:$K$47,8,FALSE)</f>
        <v/>
      </c>
      <c r="K40" s="44" t="n"/>
      <c r="L40" s="3">
        <f>J40-K40</f>
        <v/>
      </c>
      <c r="M40" s="69">
        <f>ConsolidatedMHrequirementOct25!I40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t="20" customFormat="1" customHeight="1" s="34">
      <c r="A41" s="10" t="inlineStr">
        <is>
          <t>B903</t>
        </is>
      </c>
      <c r="B41" s="3">
        <f>ConsolidatedMHrequirementOct25!B41</f>
        <v/>
      </c>
      <c r="C41" s="3" t="n"/>
      <c r="D41" s="3" t="n"/>
      <c r="E41" s="3" t="n"/>
      <c r="F41" s="41">
        <f>VLOOKUP(A41,ConsolidatedMHrequirementOct25!$A$4:$K$47,4,FALSE)</f>
        <v/>
      </c>
      <c r="G41" s="3">
        <f>ConsolidatedMHrequirementOct25!F41</f>
        <v/>
      </c>
      <c r="H41" s="3">
        <f>ConsolidatedMHrequirementOct25!E41</f>
        <v/>
      </c>
      <c r="I41" s="3">
        <f>ConsolidatedMHrequirementOct25!G41</f>
        <v/>
      </c>
      <c r="J41" s="41">
        <f>VLOOKUP(A41,ConsolidatedMHrequirementOct25!$A$4:$K$47,8,FALSE)</f>
        <v/>
      </c>
      <c r="K41" s="54" t="n"/>
      <c r="L41" s="3">
        <f>J41-K41</f>
        <v/>
      </c>
      <c r="M41" s="69">
        <f>ConsolidatedMHrequirementOct25!I41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customFormat="1" s="34">
      <c r="A42" s="10" t="inlineStr">
        <is>
          <t>B904</t>
        </is>
      </c>
      <c r="B42" s="3">
        <f>ConsolidatedMHrequirementOct25!B42</f>
        <v/>
      </c>
      <c r="C42" s="41" t="n"/>
      <c r="D42" s="41" t="n"/>
      <c r="E42" s="41" t="n"/>
      <c r="F42" s="41">
        <f>VLOOKUP(A42,ConsolidatedMHrequirementOct25!$A$4:$K$47,4,FALSE)</f>
        <v/>
      </c>
      <c r="G42" s="3">
        <f>ConsolidatedMHrequirementOct25!F42</f>
        <v/>
      </c>
      <c r="H42" s="3">
        <f>ConsolidatedMHrequirementOct25!E42</f>
        <v/>
      </c>
      <c r="I42" s="3">
        <f>ConsolidatedMHrequirementOct25!G42</f>
        <v/>
      </c>
      <c r="J42" s="41">
        <f>VLOOKUP(A42,ConsolidatedMHrequirementOct25!$A$4:$K$47,8,FALSE)</f>
        <v/>
      </c>
      <c r="K42" s="54" t="n"/>
      <c r="L42" s="3">
        <f>J42-K42</f>
        <v/>
      </c>
      <c r="M42" s="69">
        <f>ConsolidatedMHrequirementOct25!I42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customFormat="1" s="34">
      <c r="A43" s="10" t="inlineStr">
        <is>
          <t>B933</t>
        </is>
      </c>
      <c r="B43" s="3">
        <f>ConsolidatedMHrequirementOct25!B43</f>
        <v/>
      </c>
      <c r="C43" s="41" t="n"/>
      <c r="D43" s="41" t="n"/>
      <c r="E43" s="41" t="n"/>
      <c r="F43" s="41">
        <f>VLOOKUP(A43,ConsolidatedMHrequirementOct25!$A$4:$K$47,4,FALSE)</f>
        <v/>
      </c>
      <c r="G43" s="3">
        <f>ConsolidatedMHrequirementOct25!F43</f>
        <v/>
      </c>
      <c r="H43" s="3">
        <f>ConsolidatedMHrequirementOct25!E43</f>
        <v/>
      </c>
      <c r="I43" s="3">
        <f>ConsolidatedMHrequirementOct25!G43</f>
        <v/>
      </c>
      <c r="J43" s="41">
        <f>VLOOKUP(A43,ConsolidatedMHrequirementOct25!$A$4:$K$47,8,FALSE)</f>
        <v/>
      </c>
      <c r="K43" s="54" t="n"/>
      <c r="L43" s="3">
        <f>J43-K43</f>
        <v/>
      </c>
      <c r="M43" s="69">
        <f>ConsolidatedMHrequirementOct25!I43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customFormat="1" s="34">
      <c r="A44" s="10" t="inlineStr">
        <is>
          <t>B943</t>
        </is>
      </c>
      <c r="B44" s="3">
        <f>ConsolidatedMHrequirementOct25!B44</f>
        <v/>
      </c>
      <c r="C44" s="41" t="n"/>
      <c r="D44" s="41" t="n"/>
      <c r="E44" s="41" t="n"/>
      <c r="F44" s="41">
        <f>VLOOKUP(A44,ConsolidatedMHrequirementOct25!$A$4:$K$47,4,FALSE)</f>
        <v/>
      </c>
      <c r="G44" s="3">
        <f>ConsolidatedMHrequirementOct25!F44</f>
        <v/>
      </c>
      <c r="H44" s="3">
        <f>ConsolidatedMHrequirementOct25!E44</f>
        <v/>
      </c>
      <c r="I44" s="3">
        <f>ConsolidatedMHrequirementOct25!G44</f>
        <v/>
      </c>
      <c r="J44" s="41">
        <f>VLOOKUP(A44,ConsolidatedMHrequirementOct25!$A$4:$K$47,8,FALSE)</f>
        <v/>
      </c>
      <c r="K44" s="54" t="n">
        <v>8</v>
      </c>
      <c r="L44" s="3">
        <f>J44-K44</f>
        <v/>
      </c>
      <c r="M44" s="69">
        <f>ConsolidatedMHrequirementOct25!I44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customFormat="1" s="34">
      <c r="A45" s="10" t="inlineStr">
        <is>
          <t>B957</t>
        </is>
      </c>
      <c r="B45" s="3">
        <f>ConsolidatedMHrequirementOct25!B45</f>
        <v/>
      </c>
      <c r="C45" s="41" t="n"/>
      <c r="D45" s="41" t="n"/>
      <c r="E45" s="41" t="n"/>
      <c r="F45" s="41">
        <f>VLOOKUP(A45,ConsolidatedMHrequirementOct25!$A$4:$K$47,4,FALSE)</f>
        <v/>
      </c>
      <c r="G45" s="3">
        <f>ConsolidatedMHrequirementOct25!F45</f>
        <v/>
      </c>
      <c r="H45" s="3">
        <f>ConsolidatedMHrequirementOct25!E45</f>
        <v/>
      </c>
      <c r="I45" s="3">
        <f>ConsolidatedMHrequirementOct25!G45</f>
        <v/>
      </c>
      <c r="J45" s="41">
        <f>VLOOKUP(A45,ConsolidatedMHrequirementOct25!$A$4:$K$47,8,FALSE)</f>
        <v/>
      </c>
      <c r="K45" s="41" t="n">
        <v>8</v>
      </c>
      <c r="L45" s="3">
        <f>J45-K45</f>
        <v/>
      </c>
      <c r="M45" s="69">
        <f>ConsolidatedMHrequirementOct25!I45</f>
        <v/>
      </c>
      <c r="N45" s="69" t="n"/>
      <c r="O45" s="69" t="n"/>
      <c r="P45" s="69" t="n"/>
      <c r="Q45" s="69" t="n"/>
      <c r="R45" s="69" t="n"/>
      <c r="S45" s="69" t="n"/>
      <c r="T45" s="69" t="n"/>
    </row>
    <row r="46" customFormat="1" s="34">
      <c r="A46" s="10" t="inlineStr">
        <is>
          <t>C007</t>
        </is>
      </c>
      <c r="B46" s="3">
        <f>ConsolidatedMHrequirementOct25!B46</f>
        <v/>
      </c>
      <c r="C46" s="41" t="n"/>
      <c r="D46" s="41" t="n"/>
      <c r="E46" s="41" t="n"/>
      <c r="F46" s="41">
        <f>VLOOKUP(A46,ConsolidatedMHrequirementOct25!$A$4:$K$47,4,FALSE)</f>
        <v/>
      </c>
      <c r="G46" s="3">
        <f>ConsolidatedMHrequirementOct25!F46</f>
        <v/>
      </c>
      <c r="H46" s="3">
        <f>ConsolidatedMHrequirementOct25!E46</f>
        <v/>
      </c>
      <c r="I46" s="3">
        <f>ConsolidatedMHrequirementOct25!G46</f>
        <v/>
      </c>
      <c r="J46" s="41">
        <f>VLOOKUP(A46,ConsolidatedMHrequirementOct25!$A$4:$K$47,8,FALSE)</f>
        <v/>
      </c>
      <c r="K46" s="54" t="n">
        <v>72</v>
      </c>
      <c r="L46" s="3">
        <f>J46-K46</f>
        <v/>
      </c>
      <c r="M46" s="69">
        <f>ConsolidatedMHrequirementOct25!I46</f>
        <v/>
      </c>
      <c r="N46" s="69" t="n"/>
      <c r="O46" s="69" t="n"/>
      <c r="P46" s="69" t="n"/>
      <c r="Q46" s="69" t="n"/>
      <c r="R46" s="69" t="n"/>
      <c r="S46" s="69" t="n"/>
      <c r="T46" s="69" t="n"/>
    </row>
    <row r="47">
      <c r="A47" s="3" t="inlineStr">
        <is>
          <t>Leave</t>
        </is>
      </c>
      <c r="B47" s="3">
        <f>ConsolidatedMHrequirementOct25!B47</f>
        <v/>
      </c>
      <c r="C47" s="3" t="n"/>
      <c r="D47" s="3" t="n"/>
      <c r="E47" s="3" t="n"/>
      <c r="F47" s="3" t="n"/>
      <c r="G47" s="3">
        <f>ConsolidatedMHrequirementOct25!F47</f>
        <v/>
      </c>
      <c r="H47" s="3">
        <f>ConsolidatedMHrequirementOct25!E47</f>
        <v/>
      </c>
      <c r="I47" s="3">
        <f>ConsolidatedMHrequirementOct25!G47</f>
        <v/>
      </c>
      <c r="J47" s="41">
        <f>VLOOKUP(A47,ConsolidatedMHrequirementOct25!$A$4:$K$47,8,FALSE)</f>
        <v/>
      </c>
      <c r="K47" s="41">
        <f>VLOOKUP(A47,ConsolidatedMHrequirementOct25!$A$4:$K$47,8,FALSE)</f>
        <v/>
      </c>
      <c r="L47" s="3">
        <f>J47-K47</f>
        <v/>
      </c>
      <c r="M47" s="69">
        <f>ConsolidatedMHrequirementOct25!I47</f>
        <v/>
      </c>
      <c r="N47" s="69" t="n"/>
      <c r="O47" s="69" t="n"/>
      <c r="P47" s="69" t="n"/>
      <c r="Q47" s="69" t="n"/>
      <c r="R47" s="69" t="n"/>
      <c r="S47" s="69" t="n"/>
      <c r="T47" s="69" t="n"/>
    </row>
    <row r="48">
      <c r="A48" s="3" t="inlineStr">
        <is>
          <t>Total</t>
        </is>
      </c>
      <c r="B48" s="3" t="n"/>
      <c r="C48" s="3" t="n"/>
      <c r="D48" s="3" t="n"/>
      <c r="E48" s="3" t="n"/>
      <c r="F48" s="3" t="n"/>
      <c r="G48" s="3">
        <f>ConsolidatedMHrequirementOct25!F48</f>
        <v/>
      </c>
      <c r="H48" s="3">
        <f>ConsolidatedMHrequirementOct25!E48</f>
        <v/>
      </c>
      <c r="I48" s="3">
        <f>ConsolidatedMHrequirementOct25!G48</f>
        <v/>
      </c>
      <c r="J48" s="41">
        <f>SUM(J4:J47)</f>
        <v/>
      </c>
      <c r="K48" s="41">
        <f>SUM(K4:K47)</f>
        <v/>
      </c>
      <c r="L48" s="41">
        <f>SUM(L4:L47)</f>
        <v/>
      </c>
    </row>
    <row r="49">
      <c r="A49" s="55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55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24" t="inlineStr">
        <is>
          <t xml:space="preserve">Guidelines : </t>
        </is>
      </c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</row>
    <row r="52">
      <c r="A52" s="26" t="inlineStr">
        <is>
          <t>1. Inspection Visit including review and endorsement of final documents: At  actual</t>
        </is>
      </c>
      <c r="B52" s="26" t="n"/>
    </row>
    <row r="53">
      <c r="A53" s="26" t="inlineStr">
        <is>
          <t xml:space="preserve">2. Expediting and preparation of expediting report: Average 2 hours /month /order ( No Octarate man hours for coordination ) </t>
        </is>
      </c>
    </row>
    <row r="54">
      <c r="A54" s="26" t="inlineStr">
        <is>
          <t xml:space="preserve">3. Expediting visit/ Attending meeting with project/.Client: At  actual </t>
        </is>
      </c>
    </row>
    <row r="55">
      <c r="A55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6">
      <c r="A56" s="26" t="inlineStr">
        <is>
          <t xml:space="preserve">5. Review of ITP for Equipment (Mechanical and Electrical/DCS etc): Average 2 hours/order </t>
        </is>
      </c>
    </row>
    <row r="57">
      <c r="A57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58">
      <c r="A58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59">
      <c r="A59" s="26" t="inlineStr">
        <is>
          <t xml:space="preserve">8. Order Closing report: Average 2 hours/Order  </t>
        </is>
      </c>
    </row>
  </sheetData>
  <autoFilter ref="A3:L48"/>
  <pageMargins left="0.7" right="0.7" top="0.75" bottom="0.75" header="0.3" footer="0.3"/>
  <pageSetup orientation="landscape" scale="7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5"/>
  <sheetViews>
    <sheetView topLeftCell="A19" zoomScale="85" zoomScaleNormal="85" workbookViewId="0">
      <selection activeCell="I21" sqref="I21"/>
    </sheetView>
  </sheetViews>
  <sheetFormatPr baseColWidth="8" defaultRowHeight="14.5"/>
  <cols>
    <col width="12.453125" customWidth="1" style="4" min="1" max="1"/>
    <col width="10.54296875" customWidth="1" style="125" min="2" max="4"/>
    <col width="17.08984375" customWidth="1" style="125" min="11" max="11"/>
    <col width="15" customWidth="1" style="125" min="15" max="17"/>
  </cols>
  <sheetData>
    <row r="1">
      <c r="A1" s="118" t="inlineStr">
        <is>
          <t>Consolidated man hour requirement  for Nov'25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2" t="n"/>
      <c r="L1" s="94" t="n"/>
    </row>
    <row r="2">
      <c r="A2" s="52">
        <f>(20*8*5)</f>
        <v/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2" t="n"/>
      <c r="L2" s="1" t="n"/>
      <c r="M2" s="111" t="n"/>
      <c r="N2" s="111" t="n"/>
      <c r="O2" s="112" t="n"/>
    </row>
    <row r="3" ht="41.25" customHeight="1" s="125">
      <c r="A3" s="3" t="inlineStr">
        <is>
          <t>Job No</t>
        </is>
      </c>
      <c r="B3" s="3" t="inlineStr">
        <is>
          <t>No. of Running orders</t>
        </is>
      </c>
      <c r="C3" s="3" t="inlineStr">
        <is>
          <t>Orders for FD f/up</t>
        </is>
      </c>
      <c r="D3" s="3" t="inlineStr">
        <is>
          <t>OCS done</t>
        </is>
      </c>
      <c r="E3" s="3" t="inlineStr">
        <is>
          <t>Exp.</t>
        </is>
      </c>
      <c r="F3" s="3" t="inlineStr">
        <is>
          <t>Inspn</t>
        </is>
      </c>
      <c r="G3" s="9" t="inlineStr">
        <is>
          <t>Others</t>
        </is>
      </c>
      <c r="H3" s="3" t="inlineStr">
        <is>
          <t>Total</t>
        </is>
      </c>
      <c r="I3" s="1" t="inlineStr">
        <is>
          <t>*Others/ Remarks</t>
        </is>
      </c>
      <c r="J3" s="111" t="n"/>
      <c r="K3" s="112" t="n"/>
      <c r="L3" s="110" t="inlineStr">
        <is>
          <t>Insp/ Project Coordinators</t>
        </is>
      </c>
      <c r="M3" s="111" t="n"/>
      <c r="N3" s="111" t="n"/>
      <c r="O3" s="112" t="n"/>
      <c r="P3" s="2" t="inlineStr">
        <is>
          <t>MH available as on 22/12/25</t>
        </is>
      </c>
      <c r="Q3" s="5" t="inlineStr">
        <is>
          <t>MH to be released for Nov'25</t>
        </is>
      </c>
      <c r="R3" t="inlineStr">
        <is>
          <t>Allotted</t>
        </is>
      </c>
      <c r="S3" t="inlineStr">
        <is>
          <t>8518 reqd</t>
        </is>
      </c>
    </row>
    <row r="4" ht="51.5" customHeight="1" s="125">
      <c r="A4" s="3" t="n">
        <v>4994</v>
      </c>
      <c r="B4" s="3" t="n">
        <v>0</v>
      </c>
      <c r="C4" s="3" t="n"/>
      <c r="D4" s="3" t="n"/>
      <c r="E4" s="3" t="n"/>
      <c r="F4" s="3" t="n"/>
      <c r="G4" s="9">
        <f>8*8</f>
        <v/>
      </c>
      <c r="H4" s="3">
        <f>SUM(E4:G4)</f>
        <v/>
      </c>
      <c r="I4" s="62" t="inlineStr">
        <is>
          <t>Enl:Frenzelit,Reval:TDPS,Schneider,Micon;Enh:2L; Mtg. for prototype of Ex-P Motors(11&amp;17/11);64h rel. on11/12[4518]</t>
        </is>
      </c>
      <c r="J4" s="63" t="n"/>
      <c r="K4" s="64" t="n"/>
      <c r="L4" s="110" t="inlineStr">
        <is>
          <t>Rajesh Sinha</t>
        </is>
      </c>
      <c r="M4" s="111" t="n"/>
      <c r="N4" s="111" t="n"/>
      <c r="O4" s="112" t="n"/>
      <c r="P4" s="3" t="n">
        <v>0</v>
      </c>
      <c r="Q4" s="3" t="n">
        <v>32</v>
      </c>
      <c r="R4" t="n">
        <v>0</v>
      </c>
      <c r="S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</t>
        </is>
      </c>
    </row>
    <row r="5" ht="46" customHeight="1" s="125">
      <c r="A5" s="3" t="n">
        <v>6979</v>
      </c>
      <c r="B5" s="3" t="n"/>
      <c r="C5" s="3" t="n"/>
      <c r="D5" s="3" t="n"/>
      <c r="E5" s="3" t="n"/>
      <c r="F5" s="3" t="n"/>
      <c r="G5" s="9" t="n"/>
      <c r="H5" s="3" t="n">
        <v>0</v>
      </c>
      <c r="I5" s="56" t="n"/>
      <c r="J5" s="56" t="n"/>
      <c r="K5" s="56" t="n"/>
      <c r="L5" s="110" t="n"/>
      <c r="M5" s="111" t="n"/>
      <c r="N5" s="111" t="n"/>
      <c r="O5" s="112" t="n"/>
      <c r="P5" s="3" t="n"/>
      <c r="Q5" s="3" t="n"/>
      <c r="S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/>
      <c r="E6" s="3" t="n"/>
      <c r="F6" s="3" t="n">
        <v>0</v>
      </c>
      <c r="G6" s="9">
        <f>8*0</f>
        <v/>
      </c>
      <c r="H6" s="3">
        <f>SUM(E6:G6)</f>
        <v/>
      </c>
      <c r="I6" s="62" t="n"/>
      <c r="J6" s="63" t="n"/>
      <c r="K6" s="64" t="n"/>
      <c r="L6" s="110" t="inlineStr">
        <is>
          <t>Sanjeev Kumar/ Yatendra Agrawal - EIB Renovation</t>
        </is>
      </c>
      <c r="M6" s="111" t="n"/>
      <c r="N6" s="111" t="n"/>
      <c r="O6" s="112" t="n"/>
      <c r="P6" s="3" t="n"/>
      <c r="Q6" s="3" t="n"/>
      <c r="R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/>
      <c r="D7" s="3" t="n"/>
      <c r="E7" s="3" t="n">
        <v>0</v>
      </c>
      <c r="F7" s="3" t="n">
        <v>0</v>
      </c>
      <c r="G7" s="9" t="n"/>
      <c r="H7" s="3" t="n">
        <v>200</v>
      </c>
      <c r="I7" s="62" t="inlineStr">
        <is>
          <t>Admin works,Insp Guidelines/Typ Test review/ITP revision(E&amp;I ITPS)/KM,NTPC Green - Discussions;Karmayogi trg.,other miscellaneous works incl.  Hosp Nomination;Capex Requirements for Off. &amp; GH, Vehicle Hiring Contract;Trgs. On MoU,Vig. Awareness wk. etc.</t>
        </is>
      </c>
      <c r="J7" s="63" t="n"/>
      <c r="K7" s="64" t="n"/>
      <c r="L7" s="110" t="inlineStr">
        <is>
          <t xml:space="preserve"> Tech Develop &amp; OH</t>
        </is>
      </c>
      <c r="M7" s="111" t="n"/>
      <c r="N7" s="111" t="n"/>
      <c r="O7" s="112" t="n"/>
      <c r="P7" s="3" t="n">
        <v>300</v>
      </c>
      <c r="Q7" s="3" t="n"/>
      <c r="S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</t>
        </is>
      </c>
    </row>
    <row r="8" ht="123" customHeight="1" s="125">
      <c r="A8" s="3" t="n">
        <v>8590</v>
      </c>
      <c r="B8" s="3" t="n"/>
      <c r="C8" s="3" t="n"/>
      <c r="D8" s="3" t="n"/>
      <c r="E8" s="3" t="n"/>
      <c r="F8" s="3" t="n">
        <v>0</v>
      </c>
      <c r="G8" s="9" t="n"/>
      <c r="H8" s="3">
        <f>SUM(E8:G8)</f>
        <v/>
      </c>
      <c r="I8" s="62" t="n"/>
      <c r="J8" s="63" t="n"/>
      <c r="K8" s="64" t="n"/>
      <c r="L8" s="110" t="n"/>
      <c r="M8" s="111" t="n"/>
      <c r="N8" s="111" t="n"/>
      <c r="O8" s="112" t="n"/>
      <c r="P8" s="3" t="n"/>
      <c r="Q8" s="3" t="n"/>
    </row>
    <row r="9" ht="41.25" customHeight="1" s="125">
      <c r="A9" s="3" t="inlineStr">
        <is>
          <t>B016</t>
        </is>
      </c>
      <c r="B9" s="3" t="n">
        <v>0</v>
      </c>
      <c r="C9" s="3" t="n"/>
      <c r="D9" s="3" t="n"/>
      <c r="E9" s="3" t="n">
        <v>0</v>
      </c>
      <c r="F9" s="3" t="n"/>
      <c r="G9" s="9" t="n">
        <v>0</v>
      </c>
      <c r="H9" s="3" t="n">
        <v>0</v>
      </c>
      <c r="I9" s="57" t="inlineStr">
        <is>
          <t xml:space="preserve"> </t>
        </is>
      </c>
      <c r="J9" s="58" t="inlineStr">
        <is>
          <t xml:space="preserve"> </t>
        </is>
      </c>
      <c r="K9" s="59" t="inlineStr">
        <is>
          <t xml:space="preserve"> </t>
        </is>
      </c>
      <c r="L9" s="110" t="inlineStr">
        <is>
          <t>Uday Pratap Singh/Pankaj Saxena/Alok Singh</t>
        </is>
      </c>
      <c r="M9" s="111" t="n"/>
      <c r="N9" s="111" t="n"/>
      <c r="O9" s="112" t="n"/>
      <c r="P9" s="2" t="n"/>
      <c r="Q9" s="5" t="n"/>
      <c r="S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0</v>
      </c>
      <c r="C10" s="3" t="n"/>
      <c r="D10" s="3" t="n"/>
      <c r="E10" s="3">
        <f>B10*8</f>
        <v/>
      </c>
      <c r="F10" s="3" t="n">
        <v>0</v>
      </c>
      <c r="G10" s="12" t="n">
        <v>0</v>
      </c>
      <c r="H10" s="3">
        <f>E10+F10+G10</f>
        <v/>
      </c>
      <c r="I10" s="126" t="inlineStr">
        <is>
          <t>Expediting - Greensol;</t>
        </is>
      </c>
      <c r="J10" s="111" t="n"/>
      <c r="K10" s="112" t="n"/>
      <c r="L10" s="110" t="inlineStr">
        <is>
          <t>Saeed Akhtar/ D Jana</t>
        </is>
      </c>
      <c r="M10" s="111" t="n"/>
      <c r="N10" s="111" t="n"/>
      <c r="O10" s="112" t="n"/>
      <c r="P10" s="3" t="n">
        <v>0</v>
      </c>
      <c r="Q10" s="3">
        <f>H10-P10</f>
        <v/>
      </c>
      <c r="R10" t="inlineStr">
        <is>
          <t xml:space="preserve"> </t>
        </is>
      </c>
      <c r="S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 t="n"/>
      <c r="D11" s="3" t="n"/>
      <c r="E11" s="3">
        <f>2*B11</f>
        <v/>
      </c>
      <c r="F11" s="3" t="n">
        <v>0</v>
      </c>
      <c r="G11" s="9" t="n">
        <v>0</v>
      </c>
      <c r="H11" s="3">
        <f>E11+F11+G11</f>
        <v/>
      </c>
      <c r="I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J11" s="111" t="n"/>
      <c r="K11" s="112" t="n"/>
      <c r="L11" s="110" t="inlineStr">
        <is>
          <t>Himanghsu Pal/Sanjeev Kumar/Aasheesh Handa</t>
        </is>
      </c>
      <c r="M11" s="111" t="n"/>
      <c r="N11" s="111" t="n"/>
      <c r="O11" s="112" t="n"/>
      <c r="P11" s="3" t="n">
        <v>0</v>
      </c>
      <c r="Q11" s="3">
        <f>H11-P11</f>
        <v/>
      </c>
      <c r="S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0</v>
      </c>
      <c r="C12" s="3" t="n"/>
      <c r="D12" s="3" t="n"/>
      <c r="E12" s="3" t="n">
        <v>0</v>
      </c>
      <c r="F12" s="3" t="n"/>
      <c r="G12" s="9" t="n"/>
      <c r="H12" s="3" t="n">
        <v>0</v>
      </c>
      <c r="I12" s="56" t="inlineStr">
        <is>
          <t xml:space="preserve"> </t>
        </is>
      </c>
      <c r="J12" s="60" t="n"/>
      <c r="K12" s="61" t="n"/>
      <c r="L12" s="110" t="inlineStr">
        <is>
          <t>Patra/Sanjay Dhuria</t>
        </is>
      </c>
      <c r="M12" s="111" t="n"/>
      <c r="N12" s="111" t="n"/>
      <c r="O12" s="112" t="n"/>
      <c r="P12" s="3" t="n"/>
      <c r="Q12" s="3" t="n"/>
      <c r="S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n"/>
      <c r="D13" s="3" t="n"/>
      <c r="E13" s="3" t="inlineStr">
        <is>
          <t xml:space="preserve"> </t>
        </is>
      </c>
      <c r="F13" s="3" t="inlineStr">
        <is>
          <t xml:space="preserve"> </t>
        </is>
      </c>
      <c r="G13" s="9" t="n"/>
      <c r="H13" s="3">
        <f>8*14.5</f>
        <v/>
      </c>
      <c r="I13" s="62" t="inlineStr">
        <is>
          <t>Insp: C&amp;S-Sw.Bds-17,18,28,29/11(4d),KSBMIL-Control Valves-25,26/11(2d),Belgaum Aqua-4-6,21/11(3d);Others- (5.5d) ;Doc Rev: MEIL/FCG-PDB-13/11;KSBMIL-14,28/11;MEIL/Southern Lub-12/11;ABB/AVR-13/11;Belgaum Aqua-24/11;C&amp;S Sw Bd -4/11(0.5d);QAPs:Corr.Txers,Temp Txers,PDB-3/11 (0.5);Batt/Batt.Charger(13/11);CG Power T/f-18/11;Expediting: C&amp;S-7/10;Triveni Turbine-26/11;116h rel on 23/12[7184]</t>
        </is>
      </c>
      <c r="J13" s="63" t="n"/>
      <c r="K13" s="64" t="n"/>
      <c r="L13" s="110" t="inlineStr">
        <is>
          <t>G Suresh/Mr Dipak Panchal /Ms Gauri Sharma/ Mr Sunil Saurabh</t>
        </is>
      </c>
      <c r="M13" s="111" t="n"/>
      <c r="N13" s="111" t="n"/>
      <c r="O13" s="112" t="n"/>
      <c r="P13" s="3" t="n">
        <v>0</v>
      </c>
      <c r="Q13" s="3" t="n">
        <v>56</v>
      </c>
      <c r="S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 t="n"/>
      <c r="D14" s="3" t="n"/>
      <c r="E14" s="3">
        <f>2*B14</f>
        <v/>
      </c>
      <c r="F14" s="3" t="n"/>
      <c r="G14" s="9" t="n">
        <v>0</v>
      </c>
      <c r="H14" s="3">
        <f>SUM(E14:G14)</f>
        <v/>
      </c>
      <c r="I14" s="62" t="n"/>
      <c r="J14" s="63" t="n"/>
      <c r="K14" s="64" t="n"/>
      <c r="L14" s="110" t="inlineStr">
        <is>
          <t>Muthu/Patra/JPS Kalra/DK Kesri</t>
        </is>
      </c>
      <c r="M14" s="111" t="n"/>
      <c r="N14" s="111" t="n"/>
      <c r="O14" s="112" t="n"/>
      <c r="P14" s="3" t="n"/>
      <c r="Q14" s="3" t="n"/>
      <c r="S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10</v>
      </c>
      <c r="C15" s="3" t="n">
        <v>3</v>
      </c>
      <c r="D15" t="n">
        <v>3</v>
      </c>
      <c r="E15" s="3">
        <f>2*B15+4*1+2</f>
        <v/>
      </c>
      <c r="F15" s="3">
        <f>8*3</f>
        <v/>
      </c>
      <c r="G15" s="9">
        <f>8*1</f>
        <v/>
      </c>
      <c r="H15" s="3">
        <f>SUM(E15:G15)</f>
        <v/>
      </c>
      <c r="I15" s="62" t="inlineStr">
        <is>
          <t>10 running orders+ 3Orders FD sub expediting+3OCS; Critical Item Insp - YIL-SRU FAT-(3d); Microfinish&amp; BDK exp. visit- (1d) for expediting bal. valves urgently reqd.</t>
        </is>
      </c>
      <c r="J15" s="63" t="n"/>
      <c r="K15" s="64" t="n"/>
      <c r="L15" s="110" t="inlineStr">
        <is>
          <t>Muthu/VA/Rajesh Bhatla/Arun Singh Arya/Sanjay Chaudhary</t>
        </is>
      </c>
      <c r="M15" s="111" t="n"/>
      <c r="N15" s="111" t="n"/>
      <c r="O15" s="112" t="n"/>
      <c r="P15" s="3" t="n"/>
      <c r="Q15" s="3" t="n"/>
      <c r="S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11/7[1656];40mh rel on 31/12[1784]</t>
        </is>
      </c>
    </row>
    <row r="16" ht="51.5" customHeight="1" s="125">
      <c r="A16" s="10" t="inlineStr">
        <is>
          <t>B285</t>
        </is>
      </c>
      <c r="B16" s="3" t="n"/>
      <c r="C16" s="3" t="n"/>
      <c r="E16" s="3" t="n"/>
      <c r="F16" s="3" t="n"/>
      <c r="G16" s="9" t="n"/>
      <c r="H16" s="3" t="n">
        <v>0</v>
      </c>
      <c r="I16" s="56" t="inlineStr">
        <is>
          <t xml:space="preserve"> </t>
        </is>
      </c>
      <c r="J16" s="60" t="n"/>
      <c r="K16" s="61" t="n"/>
      <c r="L16" s="110" t="inlineStr">
        <is>
          <t>Sanjeev Kumar/Vikalp Paliwal</t>
        </is>
      </c>
      <c r="M16" s="111" t="n"/>
      <c r="N16" s="111" t="n"/>
      <c r="O16" s="112" t="n"/>
      <c r="P16" s="3" t="n"/>
      <c r="Q16" s="3" t="n"/>
    </row>
    <row r="17" ht="112" customHeight="1" s="125">
      <c r="A17" s="10" t="inlineStr">
        <is>
          <t>B297</t>
        </is>
      </c>
      <c r="B17" s="3" t="n">
        <v>0</v>
      </c>
      <c r="C17" s="3" t="n">
        <v>2</v>
      </c>
      <c r="D17" s="95" t="n">
        <v>2</v>
      </c>
      <c r="E17" s="3">
        <f>2*D17</f>
        <v/>
      </c>
      <c r="F17" s="3">
        <f>8*0</f>
        <v/>
      </c>
      <c r="G17" s="9">
        <f>8*0</f>
        <v/>
      </c>
      <c r="H17" s="3">
        <f>SUM(E17:G17)</f>
        <v/>
      </c>
      <c r="I17" s="62" t="inlineStr">
        <is>
          <t xml:space="preserve">Exp- 2OCS+ 2-FD sub exp </t>
        </is>
      </c>
      <c r="J17" s="63" t="n"/>
      <c r="K17" s="64" t="n"/>
      <c r="L17" s="110" t="inlineStr">
        <is>
          <t>Muthu/NS Vasudev/Manish Tiwari - GAIL Pata</t>
        </is>
      </c>
      <c r="M17" s="111" t="n"/>
      <c r="N17" s="111" t="n"/>
      <c r="O17" s="112" t="n"/>
      <c r="P17" s="3" t="n">
        <v>10</v>
      </c>
      <c r="Q17" s="3" t="n"/>
      <c r="S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3</v>
      </c>
      <c r="C18" s="3" t="n">
        <v>1</v>
      </c>
      <c r="E18" s="3">
        <f>2*B18+4</f>
        <v/>
      </c>
      <c r="F18" s="3">
        <f>8*8</f>
        <v/>
      </c>
      <c r="G18" s="9">
        <f>8*2.5</f>
        <v/>
      </c>
      <c r="H18" s="3">
        <f>SUM(E18:G18)</f>
        <v/>
      </c>
      <c r="I18" s="62" t="inlineStr">
        <is>
          <t>3 Running orders ;Doc rev: -Ace P/l/HBL - Batteries (17/11); Inspn: YIL-103-Field Insts(6,23/11);KPCL/Powerica-6-14/11;Shirdi Sai Elec- T/f - 11/11,21/11- Mtg. &amp; compl. Rev</t>
        </is>
      </c>
      <c r="J18" s="63" t="n"/>
      <c r="K18" s="64" t="n"/>
      <c r="L18" s="110" t="inlineStr">
        <is>
          <t>Muthu/Hemant Gadasia/D Jana(302-1)/Sivakumar(302-2)/Abhishek Rai/Balbir Singh (01-P/L &amp; 02- COT) - pump order - 02; FOA also to incl. Unit no for correlation</t>
        </is>
      </c>
      <c r="M18" s="111" t="n"/>
      <c r="N18" s="111" t="n"/>
      <c r="O18" s="112" t="n"/>
      <c r="P18" s="3" t="n"/>
      <c r="Q18" s="3" t="n"/>
      <c r="S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3</v>
      </c>
      <c r="C19" s="3" t="n">
        <v>4</v>
      </c>
      <c r="D19" t="n">
        <v>0</v>
      </c>
      <c r="E19" s="3">
        <f>2*B19+2*2</f>
        <v/>
      </c>
      <c r="F19" s="3" t="n">
        <v>0</v>
      </c>
      <c r="G19" s="9" t="n">
        <v>0</v>
      </c>
      <c r="H19" s="3">
        <f>SUM(E19:G19)</f>
        <v/>
      </c>
      <c r="I19" s="62" t="inlineStr">
        <is>
          <t>7 orders incl. 4 FD exp.</t>
        </is>
      </c>
      <c r="J19" s="62" t="n"/>
      <c r="K19" s="62" t="n"/>
      <c r="L19" s="110" t="inlineStr">
        <is>
          <t>Sanjeev Kumar/Lavish/HarshVardhan</t>
        </is>
      </c>
      <c r="M19" s="111" t="n"/>
      <c r="N19" s="111" t="n"/>
      <c r="O19" s="112" t="n"/>
      <c r="P19" s="3" t="n">
        <v>1</v>
      </c>
      <c r="Q19" s="3" t="n"/>
      <c r="S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</t>
        </is>
      </c>
    </row>
    <row r="20" ht="83.5" customHeight="1" s="125">
      <c r="A20" s="3" t="inlineStr">
        <is>
          <t>B359</t>
        </is>
      </c>
      <c r="B20" s="3" t="n"/>
      <c r="C20" s="3" t="n"/>
      <c r="E20" s="3" t="n"/>
      <c r="F20" s="3" t="n">
        <v>16</v>
      </c>
      <c r="G20" s="9" t="n">
        <v>0</v>
      </c>
      <c r="H20" s="3">
        <f>SUM(E20:G20)</f>
        <v/>
      </c>
      <c r="I20" s="62" t="inlineStr">
        <is>
          <t>Corrtech/Ramtek Elec.Insp-18/11 &amp; compl.rev./clearance-27/11</t>
        </is>
      </c>
      <c r="J20" s="62" t="n"/>
      <c r="K20" s="62" t="n"/>
      <c r="L20" s="110" t="inlineStr">
        <is>
          <t>G Suresh/Sumanta Mondal/Abhishek/Sarvesh Kumar</t>
        </is>
      </c>
      <c r="M20" s="111" t="n"/>
      <c r="N20" s="111" t="n"/>
      <c r="O20" s="112" t="n"/>
      <c r="P20" s="3" t="n"/>
      <c r="Q20" s="3" t="n"/>
      <c r="S20" t="inlineStr">
        <is>
          <t>24h relsd on 30/3/22;24h relsd on 2/8/2216mh rel on 5/3/25[232]-16h rel on 7/1[248]</t>
        </is>
      </c>
    </row>
    <row r="21" ht="118" customHeight="1" s="125">
      <c r="A21" s="10" t="inlineStr">
        <is>
          <t>B378</t>
        </is>
      </c>
      <c r="B21" t="n">
        <v>12</v>
      </c>
      <c r="C21" t="n">
        <v>12</v>
      </c>
      <c r="D21" t="n">
        <v>0</v>
      </c>
      <c r="E21" s="3">
        <f>2*(B21+C21)</f>
        <v/>
      </c>
      <c r="F21" s="3">
        <f>8*0</f>
        <v/>
      </c>
      <c r="G21" s="9">
        <f>8*3.5</f>
        <v/>
      </c>
      <c r="H21" s="3">
        <f>SUM(E21:G21)</f>
        <v/>
      </c>
      <c r="I21" s="62" t="inlineStr">
        <is>
          <t xml:space="preserve"> 24 ord Expediting(incl  12ord FD sub exp);Coordination/resolution of site issues-(1d);YIL &amp; ABB- Mtg. with Sr. Mgmt Team for expediting O/s supply &amp; site activities (1d); Kequip- Lab Insts Tender - QAP Appls(1d), PO 620-YIL - rev &amp; IRN issue for bal. items-76h rel on 22/12[5106]</t>
        </is>
      </c>
      <c r="J21" s="62" t="n"/>
      <c r="K21" s="62" t="n"/>
      <c r="L21" s="110" t="inlineStr">
        <is>
          <t>Muthu/CS Prasad/Ajay Gupta/Rajeev Kr Khandelwal/Prakash Jagarwal/Deepak Dinkar -GAIL Usar</t>
        </is>
      </c>
      <c r="M21" s="111" t="n"/>
      <c r="N21" s="111" t="n"/>
      <c r="O21" s="112" t="n"/>
      <c r="P21" s="3" t="n">
        <v>0</v>
      </c>
      <c r="Q21" s="3" t="n"/>
      <c r="S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</t>
        </is>
      </c>
    </row>
    <row r="22" ht="83.5" customHeight="1" s="125">
      <c r="A22" s="10" t="inlineStr">
        <is>
          <t>B414</t>
        </is>
      </c>
      <c r="B22" t="n">
        <v>0</v>
      </c>
      <c r="C22" t="n">
        <v>4</v>
      </c>
      <c r="E22" s="3">
        <f>2*B22+1*0</f>
        <v/>
      </c>
      <c r="F22" s="3">
        <f>8*0</f>
        <v/>
      </c>
      <c r="G22" s="9">
        <f>8*0</f>
        <v/>
      </c>
      <c r="H22" s="3">
        <f>SUM(E22:G22)</f>
        <v/>
      </c>
      <c r="I22" s="62" t="inlineStr">
        <is>
          <t xml:space="preserve">4 orders FD expediting </t>
        </is>
      </c>
      <c r="J22" s="62" t="n"/>
      <c r="K22" s="62" t="n"/>
      <c r="L22" s="110" t="inlineStr">
        <is>
          <t>Sanjeev/ Shnaoli Nath</t>
        </is>
      </c>
      <c r="M22" s="111" t="n"/>
      <c r="N22" s="111" t="n"/>
      <c r="O22" s="112" t="n"/>
      <c r="P22" s="3" t="n"/>
      <c r="Q22" s="3" t="n"/>
      <c r="S22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14/10[518];100 mh rel on 21/1[761]</t>
        </is>
      </c>
    </row>
    <row r="23" ht="83.5" customHeight="1" s="125">
      <c r="A23" s="10" t="inlineStr">
        <is>
          <t>B436</t>
        </is>
      </c>
      <c r="E23" s="3" t="n">
        <v>2</v>
      </c>
      <c r="F23" s="3" t="n">
        <v>0</v>
      </c>
      <c r="G23" s="9" t="n">
        <v>0</v>
      </c>
      <c r="H23" s="3" t="n">
        <v>0</v>
      </c>
      <c r="I23" s="62" t="inlineStr">
        <is>
          <t xml:space="preserve">SCADA order on ABB </t>
        </is>
      </c>
      <c r="J23" s="62" t="n"/>
      <c r="K23" s="62" t="n"/>
      <c r="L23" s="110" t="inlineStr">
        <is>
          <t>T Ravi/Sangram Mishra/NS Vasudev</t>
        </is>
      </c>
      <c r="M23" s="111" t="n"/>
      <c r="N23" s="111" t="n"/>
      <c r="O23" s="112" t="n"/>
      <c r="P23" s="3" t="n"/>
      <c r="Q23" s="3" t="n"/>
      <c r="R23" t="inlineStr">
        <is>
          <t>10h rel on 22/5;26h rel on 12/10[38]</t>
        </is>
      </c>
    </row>
    <row r="24" ht="121.5" customHeight="1" s="125">
      <c r="A24" s="10" t="inlineStr">
        <is>
          <t>B440</t>
        </is>
      </c>
      <c r="B24" t="n">
        <v>10</v>
      </c>
      <c r="C24" t="n">
        <v>2</v>
      </c>
      <c r="D24" t="n">
        <v>0</v>
      </c>
      <c r="E24" s="3">
        <f>2*B24 + 4*2+2*0</f>
        <v/>
      </c>
      <c r="F24" s="3">
        <f>8*0</f>
        <v/>
      </c>
      <c r="G24" s="9">
        <f>8+4</f>
        <v/>
      </c>
      <c r="H24" s="3">
        <f>SUM(E24:G24)</f>
        <v/>
      </c>
      <c r="I24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Clarifications-8/7(0.5d); Oct: 12 R ord+2OCS; Nov: 10R+2ord FD exp+excl. exp. visit to BDK +PO267-rev &amp; End. of TPI repts</t>
        </is>
      </c>
      <c r="J24" s="62" t="n"/>
      <c r="K24" s="62" t="n"/>
      <c r="L24" s="110" t="inlineStr">
        <is>
          <t>Mittal/Ayush Mathur/Shivaji/VVR Murthy</t>
        </is>
      </c>
      <c r="M24" s="111" t="n"/>
      <c r="N24" s="111" t="n"/>
      <c r="O24" s="112" t="n"/>
      <c r="P24" s="3" t="n"/>
      <c r="Q24" s="3" t="n"/>
      <c r="R24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5" ht="83.5" customHeight="1" s="125">
      <c r="A25" s="10" t="inlineStr">
        <is>
          <t>B448</t>
        </is>
      </c>
      <c r="E25" s="3" t="n">
        <v>0</v>
      </c>
      <c r="F25" s="3">
        <f>8*1</f>
        <v/>
      </c>
      <c r="G25" s="9">
        <f>8*0</f>
        <v/>
      </c>
      <c r="H25" s="3">
        <f>SUM(E25:G25)</f>
        <v/>
      </c>
      <c r="I25" s="62" t="inlineStr">
        <is>
          <t>ABB - Plant Automation Pkg - Metering &amp; Blend Skid - Insp. Of Valves at Microfinish-18/11</t>
        </is>
      </c>
      <c r="J25" s="62" t="n"/>
      <c r="K25" s="62" t="n"/>
      <c r="L25" s="110" t="inlineStr">
        <is>
          <t>Sanjeev Kumar/UK Mishra/NS Vasudev</t>
        </is>
      </c>
      <c r="M25" s="111" t="n"/>
      <c r="N25" s="111" t="n"/>
      <c r="O25" s="112" t="n"/>
      <c r="P25" s="3" t="n"/>
      <c r="Q25" s="3" t="n"/>
      <c r="S25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21/4[192];48 h rel on 20/1[300]</t>
        </is>
      </c>
    </row>
    <row r="26" ht="83.5" customHeight="1" s="125">
      <c r="A26" s="3" t="inlineStr">
        <is>
          <t>B519</t>
        </is>
      </c>
      <c r="B26" t="n">
        <v>0</v>
      </c>
      <c r="C26" t="n">
        <v>2</v>
      </c>
      <c r="D26" t="n">
        <v>1</v>
      </c>
      <c r="E26" s="3">
        <f>2*B26</f>
        <v/>
      </c>
      <c r="F26" s="3">
        <f>8*0.25</f>
        <v/>
      </c>
      <c r="G26" s="9" t="n">
        <v>0</v>
      </c>
      <c r="H26" s="3">
        <f>SUM(E26:G26)</f>
        <v/>
      </c>
      <c r="I26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insp-25/7(1d); Nov'25: 1 OCS + 2ord FD exp.</t>
        </is>
      </c>
      <c r="J26" s="62" t="n"/>
      <c r="K26" s="62" t="n"/>
      <c r="L26" s="110" t="inlineStr">
        <is>
          <t>G Suresh/HarshVardan/Prakash Jagarwal/DSNMurty</t>
        </is>
      </c>
      <c r="M26" s="111" t="n"/>
      <c r="N26" s="111" t="n"/>
      <c r="O26" s="112" t="n"/>
      <c r="P26" s="3" t="n"/>
      <c r="Q26" s="3" t="n"/>
    </row>
    <row r="27" ht="83.5" customHeight="1" s="125">
      <c r="A27" s="10" t="inlineStr">
        <is>
          <t>B548</t>
        </is>
      </c>
      <c r="E27" s="3" t="n">
        <v>0</v>
      </c>
      <c r="F27" s="3" t="n">
        <v>0</v>
      </c>
      <c r="G27" s="9" t="n">
        <v>0</v>
      </c>
      <c r="H27" s="3">
        <f>SUM(E27:G27)</f>
        <v/>
      </c>
      <c r="I27" s="62" t="n"/>
      <c r="J27" s="62" t="n"/>
      <c r="K27" s="62" t="n"/>
      <c r="L27" s="110" t="inlineStr">
        <is>
          <t>Sanjeev Kr/T Ravi/NS Vasudev/Sanjeev Kr Gupta</t>
        </is>
      </c>
      <c r="M27" s="111" t="n"/>
      <c r="N27" s="111" t="n"/>
      <c r="O27" s="112" t="n"/>
      <c r="P27" s="3" t="n"/>
      <c r="Q27" s="3" t="n"/>
      <c r="R27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8" ht="83.5" customHeight="1" s="125">
      <c r="A28" s="10" t="inlineStr">
        <is>
          <t>B559</t>
        </is>
      </c>
      <c r="B28" t="n">
        <v>3</v>
      </c>
      <c r="C28" t="n">
        <v>0</v>
      </c>
      <c r="D28" t="n">
        <v>0</v>
      </c>
      <c r="E28" s="3">
        <f>2*D28+2*D28</f>
        <v/>
      </c>
      <c r="F28" s="3" t="n">
        <v>0</v>
      </c>
      <c r="G28" s="9" t="n">
        <v>0</v>
      </c>
      <c r="H28" s="3">
        <f>SUM(E28:G28)</f>
        <v/>
      </c>
      <c r="I28" s="62" t="inlineStr">
        <is>
          <t xml:space="preserve">IOCL Biturox,Vad-Proj. Prof. uploaded on 20/3- Desk Expediting - NO OCS; 3 R orders expediting </t>
        </is>
      </c>
      <c r="J28" s="62" t="n"/>
      <c r="K28" s="62" t="n"/>
      <c r="L28" s="110" t="inlineStr">
        <is>
          <t xml:space="preserve">Muthu/Aravaazhi/SK Gayen/RK Gupta </t>
        </is>
      </c>
      <c r="M28" s="111" t="n"/>
      <c r="N28" s="111" t="n"/>
      <c r="O28" s="112" t="n"/>
      <c r="P28" s="3" t="n"/>
      <c r="Q28" s="3" t="n"/>
      <c r="R28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29" ht="83.5" customHeight="1" s="125">
      <c r="A29" s="3" t="inlineStr">
        <is>
          <t>B560</t>
        </is>
      </c>
      <c r="B29" t="n">
        <v>4</v>
      </c>
      <c r="C29" t="n">
        <v>2</v>
      </c>
      <c r="D29" t="n">
        <v>4</v>
      </c>
      <c r="E29" s="3">
        <f>2*(B29+D29)</f>
        <v/>
      </c>
      <c r="F29" s="3" t="n"/>
      <c r="G29" s="9" t="n">
        <v>0</v>
      </c>
      <c r="H29" s="3">
        <f>SUM(E29:G29)</f>
        <v/>
      </c>
      <c r="I29" s="62" t="inlineStr">
        <is>
          <t xml:space="preserve">Req.from ED(I) for expediting on 15/6/24 -4R ord+4OCS+2 FD exp &amp; OCS also to be made as per latest reqt.; </t>
        </is>
      </c>
      <c r="J29" s="62" t="n"/>
      <c r="K29" s="62" t="n"/>
      <c r="L29" s="110" t="inlineStr">
        <is>
          <t>G Suresh/Krishna Kumar/Vinod Kumar/RK Medhavi</t>
        </is>
      </c>
      <c r="M29" s="111" t="n"/>
      <c r="N29" s="111" t="n"/>
      <c r="O29" s="112" t="n"/>
      <c r="P29" s="3" t="n"/>
      <c r="Q29" s="3" t="n"/>
      <c r="R29" t="inlineStr">
        <is>
          <t>100h rel on 23/4</t>
        </is>
      </c>
    </row>
    <row r="30" ht="44" customHeight="1" s="125">
      <c r="A30" s="10" t="inlineStr">
        <is>
          <t>B589</t>
        </is>
      </c>
      <c r="E30" s="3" t="n">
        <v>0</v>
      </c>
      <c r="F30" s="3" t="n">
        <v>0</v>
      </c>
      <c r="G30" s="9" t="n">
        <v>0</v>
      </c>
      <c r="H30" s="3" t="n">
        <v>0</v>
      </c>
      <c r="I30" s="62" t="n"/>
      <c r="J30" s="62" t="n"/>
      <c r="K30" s="62" t="n"/>
      <c r="L30" s="110" t="inlineStr">
        <is>
          <t>Himangshu Pal/Sanjeev Kr/T Ravi/NS Vasudev/Sanjeev Kr Gupta</t>
        </is>
      </c>
      <c r="M30" s="111" t="n"/>
      <c r="N30" s="111" t="n"/>
      <c r="O30" s="112" t="n"/>
      <c r="P30" s="3" t="n"/>
      <c r="Q30" s="3" t="n"/>
      <c r="R30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1" ht="83.5" customHeight="1" s="125">
      <c r="A31" s="10" t="inlineStr">
        <is>
          <t>B650</t>
        </is>
      </c>
      <c r="B31" t="n">
        <v>0</v>
      </c>
      <c r="D31" t="n">
        <v>0</v>
      </c>
      <c r="E31" s="3">
        <f>B31*2+2*D31</f>
        <v/>
      </c>
      <c r="F31" s="3" t="n"/>
      <c r="G31" s="9" t="n"/>
      <c r="H31" s="3">
        <f>SUM(E31:G31)</f>
        <v/>
      </c>
      <c r="I31" s="62" t="inlineStr">
        <is>
          <t xml:space="preserve">1ord FD exp - No scope for RPO - however, OCS to be done </t>
        </is>
      </c>
      <c r="J31" s="62" t="n"/>
      <c r="K31" s="62" t="n"/>
      <c r="L31" s="110" t="inlineStr">
        <is>
          <t>G Suresh/Sanjay Choudhary/Siddant Kumar</t>
        </is>
      </c>
      <c r="M31" s="111" t="n"/>
      <c r="N31" s="111" t="n"/>
      <c r="O31" s="112" t="n"/>
      <c r="P31" s="3" t="n"/>
      <c r="Q31" s="3" t="n"/>
    </row>
    <row r="32" ht="83.5" customHeight="1" s="125">
      <c r="A32" s="10" t="inlineStr">
        <is>
          <t>B653</t>
        </is>
      </c>
      <c r="B32" t="n">
        <v>6</v>
      </c>
      <c r="C32" t="n">
        <v>6</v>
      </c>
      <c r="D32" t="n">
        <v>1</v>
      </c>
      <c r="E32" s="3">
        <f>2*B32+1*4</f>
        <v/>
      </c>
      <c r="F32" s="3" t="n"/>
      <c r="G32" s="9">
        <f>8*0.5</f>
        <v/>
      </c>
      <c r="H32" s="3">
        <f>SUM(E32:G32)</f>
        <v/>
      </c>
      <c r="I32" s="62" t="inlineStr">
        <is>
          <t>Expediting by RPOs as per email dtd 22/10/24, OCS by RPO as per CS mail dt 17/1; (6 running incl 6FD exp+1 OCS);Ultra Filter review &amp; exp mtg. -4h</t>
        </is>
      </c>
      <c r="J32" s="62" t="n"/>
      <c r="K32" s="62" t="n"/>
      <c r="L32" s="110" t="inlineStr">
        <is>
          <t>G Suresh/Krishnakumar/Aasheesh Handa/Amandeep Kaur</t>
        </is>
      </c>
      <c r="M32" s="111" t="n"/>
      <c r="N32" s="111" t="n"/>
      <c r="O32" s="112" t="n"/>
      <c r="P32" s="3" t="n"/>
      <c r="Q32" s="3" t="n"/>
      <c r="R32" t="inlineStr">
        <is>
          <t>40h rel on 9/4/24 [40];60h rel on 17/1[212]</t>
        </is>
      </c>
    </row>
    <row r="33" ht="83.5" customHeight="1" s="125">
      <c r="A33" s="3" t="inlineStr">
        <is>
          <t>B725</t>
        </is>
      </c>
      <c r="B33" s="3" t="n">
        <v>4</v>
      </c>
      <c r="C33" s="3" t="n"/>
      <c r="E33" s="3" t="n"/>
      <c r="F33" s="3" t="n">
        <v>0</v>
      </c>
      <c r="G33" s="9" t="n">
        <v>0</v>
      </c>
      <c r="H33" s="3">
        <f>SUM(E33:G33)</f>
        <v/>
      </c>
      <c r="I33" s="62" t="inlineStr">
        <is>
          <t xml:space="preserve">No expediting; </t>
        </is>
      </c>
      <c r="J33" s="62" t="n"/>
      <c r="K33" s="62" t="n"/>
      <c r="L33" s="110" t="inlineStr">
        <is>
          <t>Sanjeev Kumar- Scope: Rev. of ITP,Insp Docs &amp; FD</t>
        </is>
      </c>
      <c r="M33" s="111" t="n"/>
      <c r="N33" s="111" t="n"/>
      <c r="O33" s="112" t="n"/>
      <c r="P33" s="3" t="n"/>
      <c r="Q33" s="3" t="n"/>
      <c r="R33" t="inlineStr">
        <is>
          <t>4h sought by BT on 27/5 to Sanjeev Kr</t>
        </is>
      </c>
    </row>
    <row r="34" ht="83.5" customHeight="1" s="125">
      <c r="A34" s="3" t="inlineStr">
        <is>
          <t>B767</t>
        </is>
      </c>
      <c r="B34" s="3" t="n"/>
      <c r="C34" s="3" t="n"/>
      <c r="E34" s="3" t="n"/>
      <c r="F34" s="3" t="n">
        <v>0</v>
      </c>
      <c r="G34" s="9" t="n">
        <v>0</v>
      </c>
      <c r="H34" s="3">
        <f>8*0</f>
        <v/>
      </c>
      <c r="I34" s="62" t="inlineStr">
        <is>
          <t>Visit to OLA</t>
        </is>
      </c>
      <c r="J34" s="62" t="n"/>
      <c r="K34" s="62" t="n"/>
      <c r="L34" s="110" t="inlineStr">
        <is>
          <t>Saeed Akhtar/Vikalp Paliwal/Balakumar</t>
        </is>
      </c>
      <c r="M34" s="111" t="n"/>
      <c r="N34" s="111" t="n"/>
      <c r="O34" s="112" t="n"/>
      <c r="P34" s="3" t="n"/>
      <c r="Q34" s="3" t="n"/>
      <c r="R34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5" ht="83.5" customHeight="1" s="125">
      <c r="A35" s="3" t="inlineStr">
        <is>
          <t>B795</t>
        </is>
      </c>
      <c r="B35" s="3" t="n">
        <v>5</v>
      </c>
      <c r="C35" s="3" t="n"/>
      <c r="E35" s="3">
        <f>5*2</f>
        <v/>
      </c>
      <c r="F35" s="3">
        <f>8*3.5</f>
        <v/>
      </c>
      <c r="G35" s="9" t="n"/>
      <c r="H35" s="3">
        <f>SUM(E35:G35)</f>
        <v/>
      </c>
      <c r="I35" s="62" t="inlineStr">
        <is>
          <t>Insp:  -QAP appl. &amp; Insp. in EIL scope(desk exp.by Monitor) ;Telecom System-ABB-Exp. By RPO as per Pjt. Profile loaded in Nov'25 - From15/11/25, expediting by RPOs; Insp: Schneider(PO26)-3.5d</t>
        </is>
      </c>
      <c r="J35" s="62" t="n"/>
      <c r="K35" s="62" t="n"/>
      <c r="L35" s="110" t="inlineStr">
        <is>
          <t>Muthu/Hemant Gadasia/Tarun Bansal/Dipak Panchal</t>
        </is>
      </c>
      <c r="M35" s="111" t="n"/>
      <c r="N35" s="111" t="n"/>
      <c r="O35" s="112" t="n"/>
      <c r="P35" s="3" t="n"/>
      <c r="Q35" s="3" t="n"/>
      <c r="R35" t="inlineStr">
        <is>
          <t>32h rels. On 12/9;64h on 16/1; addl 100h rel on 20/1 [276];38h rel on 1/1[354]</t>
        </is>
      </c>
    </row>
    <row r="36" ht="83.5" customHeight="1" s="125">
      <c r="A36" s="3" t="inlineStr">
        <is>
          <t>B813</t>
        </is>
      </c>
      <c r="B36" t="n">
        <v>1</v>
      </c>
      <c r="C36" s="3" t="n"/>
      <c r="E36" s="3">
        <f>2*B36</f>
        <v/>
      </c>
      <c r="F36" s="3" t="n"/>
      <c r="G36" s="9" t="n"/>
      <c r="H36" s="3">
        <f>SUM(E36:G36)</f>
        <v/>
      </c>
      <c r="I36" s="62" t="inlineStr">
        <is>
          <t>Expedite &amp; Inspect critical items (list provided in mail dt.29/5/25) EIL on man-day reimbursable basis - 1 order on KSBMIL</t>
        </is>
      </c>
      <c r="J36" s="62" t="n"/>
      <c r="K36" s="62" t="n"/>
      <c r="L36" s="110" t="inlineStr">
        <is>
          <t>Sanjeev Kumar/Raviraj/Shivaji</t>
        </is>
      </c>
      <c r="M36" s="111" t="n"/>
      <c r="N36" s="111" t="n"/>
      <c r="O36" s="112" t="inlineStr">
        <is>
          <t>NRL-Aqueous Ammonia Unit</t>
        </is>
      </c>
      <c r="P36" s="3" t="n"/>
      <c r="Q36" s="3" t="n"/>
    </row>
    <row r="37" ht="83.5" customHeight="1" s="125">
      <c r="A37" s="3" t="inlineStr">
        <is>
          <t>B860</t>
        </is>
      </c>
      <c r="B37" s="96" t="n">
        <v>1</v>
      </c>
      <c r="C37" s="3" t="n"/>
      <c r="E37" s="3">
        <f>8*2</f>
        <v/>
      </c>
      <c r="F37" s="3" t="n"/>
      <c r="G37" s="9" t="n"/>
      <c r="H37" s="3">
        <f>SUM(E37:G37)</f>
        <v/>
      </c>
      <c r="I37" s="62" t="inlineStr">
        <is>
          <t>YIL-Terminal Automation System - Expediting &amp; Insp. - expediting &amp; all stake holders mtg.(19/11)</t>
        </is>
      </c>
      <c r="J37" s="62" t="n"/>
      <c r="K37" s="62" t="n"/>
      <c r="L37" s="110" t="inlineStr">
        <is>
          <t>Muthu/Hemant Gadasia/Giridhar Nanduri/Sanjeev Gupta/RK Medhavi</t>
        </is>
      </c>
      <c r="M37" s="111" t="n"/>
      <c r="N37" s="111" t="n"/>
      <c r="O37" s="112" t="n"/>
      <c r="P37" s="3" t="inlineStr">
        <is>
          <t>KLL-Addl Terminals</t>
        </is>
      </c>
      <c r="Q37" s="3" t="n"/>
      <c r="R37" t="inlineStr">
        <is>
          <t>13h rel on 20/1[13] &amp; 18h in B812</t>
        </is>
      </c>
    </row>
    <row r="38" ht="83.5" customHeight="1" s="125">
      <c r="A38" s="3" t="inlineStr">
        <is>
          <t>B861</t>
        </is>
      </c>
      <c r="B38" t="n">
        <v>1</v>
      </c>
      <c r="C38" s="3" t="n"/>
      <c r="E38" s="3">
        <f>8*2</f>
        <v/>
      </c>
      <c r="F38" s="3">
        <f>8*2</f>
        <v/>
      </c>
      <c r="G38" s="9" t="n"/>
      <c r="H38" s="3">
        <f>SUM(E38:G38)</f>
        <v/>
      </c>
      <c r="I38" s="62" t="inlineStr">
        <is>
          <t>Enginemtes order - Expediting, adv. Release &amp; matl ordering, mtg &amp; rev. of Quality reqts; Insp:Plate &amp; Tube Id+Header Box Final Weld PAUTcalib.+2 finning vendors -20,21/11-32h rel on 23/12[82]</t>
        </is>
      </c>
      <c r="J38" s="62" t="n"/>
      <c r="K38" s="62" t="n"/>
      <c r="L38" s="110" t="inlineStr">
        <is>
          <t>Muthu/Hemant Gadasia/Shashank Nayyar/D Jana</t>
        </is>
      </c>
      <c r="M38" s="111" t="n"/>
      <c r="N38" s="111" t="n"/>
      <c r="O38" s="112" t="n"/>
      <c r="P38" s="3" t="n"/>
      <c r="Q38" s="3" t="n"/>
    </row>
    <row r="39" ht="83.5" customHeight="1" s="125">
      <c r="A39" s="3" t="inlineStr">
        <is>
          <t>B862</t>
        </is>
      </c>
      <c r="B39" t="n">
        <v>7</v>
      </c>
      <c r="C39" s="3" t="n"/>
      <c r="E39" s="3">
        <f>B39*2</f>
        <v/>
      </c>
      <c r="F39" s="3" t="n"/>
      <c r="G39" s="9" t="n">
        <v>12</v>
      </c>
      <c r="H39" s="3">
        <f>SUM(E39:G39)</f>
        <v/>
      </c>
      <c r="I39" s="62" t="inlineStr">
        <is>
          <t>manhour for Level- 13 (Group-2), Level -15 &amp; 16 (Group-4) and Level-18 (Group-5) have far exceeded ceiling prescribed in the contract - &gt;Lvl 17-mh limited to 16%; ODC Job spec.review; Certification of Milestone payment of QLAR for Sub-order placement</t>
        </is>
      </c>
      <c r="J39" s="62" t="n"/>
      <c r="K39" s="62" t="n"/>
      <c r="L39" s="110" t="inlineStr">
        <is>
          <t>Sanjeev Kumar/Rajeev Khandelwal IOM 10/7/24 from Mr Rajeev Khandelwal on level wise breakup of MH to be booked - to be followed while seeking MH.</t>
        </is>
      </c>
      <c r="M39" s="111" t="n"/>
      <c r="N39" s="111" t="n"/>
      <c r="O39" s="112" t="inlineStr">
        <is>
          <t>PLL</t>
        </is>
      </c>
      <c r="P39" s="3" t="n"/>
      <c r="Q39" s="3" t="n"/>
      <c r="R39" t="inlineStr">
        <is>
          <t>200h rel in May'25</t>
        </is>
      </c>
    </row>
    <row r="40" ht="83.5" customHeight="1" s="125">
      <c r="A40" s="3" t="inlineStr">
        <is>
          <t>B865</t>
        </is>
      </c>
      <c r="C40" s="3" t="n"/>
      <c r="E40" s="3" t="n"/>
      <c r="F40" s="3" t="n"/>
      <c r="G40" s="9" t="n"/>
      <c r="H40" s="3" t="n"/>
      <c r="I40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J40" s="62" t="n"/>
      <c r="K40" s="62" t="n"/>
      <c r="L40" s="110" t="inlineStr">
        <is>
          <t>Muthu/CS Prasad/</t>
        </is>
      </c>
      <c r="M40" s="111" t="n"/>
      <c r="N40" s="111" t="n"/>
      <c r="O40" s="112" t="inlineStr">
        <is>
          <t>HPCL Petchem Mktg Terminal</t>
        </is>
      </c>
      <c r="P40" s="3" t="n"/>
      <c r="Q40" s="3" t="n"/>
    </row>
    <row r="41" ht="83.5" customHeight="1" s="125">
      <c r="A41" s="3" t="inlineStr">
        <is>
          <t>B889</t>
        </is>
      </c>
      <c r="B41" t="n">
        <v>1</v>
      </c>
      <c r="C41" s="3" t="n"/>
      <c r="E41" s="3">
        <f>2*B41</f>
        <v/>
      </c>
      <c r="F41" s="3" t="n"/>
      <c r="G41" s="9" t="n"/>
      <c r="H41" s="3">
        <f>SUM(E41:G41)</f>
        <v/>
      </c>
      <c r="I41" s="62" t="inlineStr">
        <is>
          <t>Expediting+OCS</t>
        </is>
      </c>
      <c r="J41" s="62" t="n"/>
      <c r="K41" s="62" t="n"/>
      <c r="L41" s="110" t="inlineStr">
        <is>
          <t>Vasu/</t>
        </is>
      </c>
      <c r="M41" s="111" t="n"/>
      <c r="N41" s="111" t="n"/>
      <c r="O41" s="112" t="inlineStr">
        <is>
          <t>MIL-Khadki</t>
        </is>
      </c>
      <c r="P41" s="3" t="n"/>
      <c r="Q41" s="3" t="n"/>
    </row>
    <row r="42" ht="83.5" customHeight="1" s="125">
      <c r="A42" s="3" t="inlineStr">
        <is>
          <t>B895</t>
        </is>
      </c>
      <c r="B42" t="n">
        <v>1</v>
      </c>
      <c r="C42" s="3" t="n"/>
      <c r="E42" s="3">
        <f>2*B42</f>
        <v/>
      </c>
      <c r="F42" s="3" t="n"/>
      <c r="G42" s="9" t="n"/>
      <c r="H42" s="3">
        <f>SUM(E42:G42)</f>
        <v/>
      </c>
      <c r="I42" s="62" t="inlineStr">
        <is>
          <t>1order on Flowserve-2h rel on 26/12</t>
        </is>
      </c>
      <c r="J42" s="62" t="n"/>
      <c r="K42" s="62" t="n"/>
      <c r="L42" s="110" t="inlineStr">
        <is>
          <t>Muthu/CS Prasad/Sujit Saha Roy/Shashank/Rajesh Bhatla</t>
        </is>
      </c>
      <c r="M42" s="111" t="n"/>
      <c r="N42" s="111" t="n"/>
      <c r="O42" s="112" t="n"/>
      <c r="P42" s="3" t="inlineStr">
        <is>
          <t>BPCL Kochi - Exp+Insp</t>
        </is>
      </c>
      <c r="Q42" s="3" t="n"/>
    </row>
    <row r="43" ht="83.5" customHeight="1" s="125">
      <c r="A43" s="3" t="inlineStr">
        <is>
          <t>B903</t>
        </is>
      </c>
      <c r="B43" t="n">
        <v>3</v>
      </c>
      <c r="C43" s="3" t="n"/>
      <c r="E43" s="3">
        <f>2*B43</f>
        <v/>
      </c>
      <c r="F43" s="3" t="n">
        <v>0</v>
      </c>
      <c r="G43" s="9" t="n"/>
      <c r="H43" s="3">
        <f>SUM(E43:G43)</f>
        <v/>
      </c>
      <c r="I43" s="62" t="inlineStr">
        <is>
          <t>3 ord exp</t>
        </is>
      </c>
      <c r="J43" s="62" t="n"/>
      <c r="K43" s="62" t="n"/>
      <c r="L43" s="110" t="inlineStr">
        <is>
          <t>Sanjeev Kumar/Shnaoli</t>
        </is>
      </c>
      <c r="M43" s="111" t="n"/>
      <c r="N43" s="111" t="n"/>
      <c r="O43" s="112" t="n"/>
      <c r="P43" s="3" t="n"/>
      <c r="Q43" s="3" t="n"/>
    </row>
    <row r="44" ht="83.5" customHeight="1" s="125">
      <c r="A44" s="3" t="inlineStr">
        <is>
          <t>B904</t>
        </is>
      </c>
      <c r="B44" t="n">
        <v>1</v>
      </c>
      <c r="C44" s="3" t="n"/>
      <c r="E44" s="3">
        <f>2*1</f>
        <v/>
      </c>
      <c r="F44" s="3" t="n"/>
      <c r="G44" s="9" t="n"/>
      <c r="H44" s="3">
        <f>SUM(E44:G44)</f>
        <v/>
      </c>
      <c r="I44" s="62" t="n"/>
      <c r="J44" s="62" t="n"/>
      <c r="K44" s="62" t="n"/>
      <c r="L44" s="110" t="inlineStr">
        <is>
          <t>Sanjeev Kumar/Shnaoli</t>
        </is>
      </c>
      <c r="M44" s="111" t="n"/>
      <c r="N44" s="111" t="n"/>
      <c r="O44" s="112" t="n"/>
      <c r="P44" s="3" t="n"/>
      <c r="Q44" s="3" t="n"/>
    </row>
    <row r="45" ht="83.5" customHeight="1" s="125">
      <c r="A45" s="3" t="inlineStr">
        <is>
          <t>B933</t>
        </is>
      </c>
      <c r="B45" t="n">
        <v>3</v>
      </c>
      <c r="C45" s="3" t="n"/>
      <c r="E45" s="3">
        <f>2*B45</f>
        <v/>
      </c>
      <c r="F45" s="3">
        <f>8*1</f>
        <v/>
      </c>
      <c r="G45" s="9" t="n"/>
      <c r="H45" s="3">
        <f>SUM(E45:G45)</f>
        <v/>
      </c>
      <c r="I45" s="62" t="inlineStr">
        <is>
          <t>3 Orders exp.; Phils Engg. Plate Id -3/11</t>
        </is>
      </c>
      <c r="J45" s="62" t="n"/>
      <c r="K45" s="62" t="n"/>
      <c r="L45" s="110" t="inlineStr">
        <is>
          <t>G Suresh/Binoy Debnath</t>
        </is>
      </c>
      <c r="M45" s="111" t="n"/>
      <c r="N45" s="111" t="n"/>
      <c r="O45" s="112" t="n"/>
      <c r="P45" s="3" t="inlineStr">
        <is>
          <t>BPCL Bina ref.</t>
        </is>
      </c>
      <c r="Q45" s="3" t="n"/>
      <c r="R45" t="inlineStr">
        <is>
          <t>30h rel u/B957</t>
        </is>
      </c>
    </row>
    <row r="46" ht="83.5" customHeight="1" s="125">
      <c r="A46" s="3" t="inlineStr">
        <is>
          <t>B943</t>
        </is>
      </c>
      <c r="B46" t="n">
        <v>1</v>
      </c>
      <c r="C46" s="3" t="n"/>
      <c r="E46" s="3">
        <f>2*B46</f>
        <v/>
      </c>
      <c r="F46" s="3" t="n"/>
      <c r="G46" s="9" t="n"/>
      <c r="H46" s="3">
        <f>SUM(E46:G46)</f>
        <v/>
      </c>
      <c r="I46" s="62" t="n"/>
      <c r="J46" s="62" t="n"/>
      <c r="K46" s="62" t="n"/>
      <c r="L46" s="110" t="inlineStr">
        <is>
          <t>Sanjeev Kumar</t>
        </is>
      </c>
      <c r="M46" s="111" t="n"/>
      <c r="N46" s="111" t="n"/>
      <c r="O46" s="112" t="inlineStr">
        <is>
          <t>MRPL</t>
        </is>
      </c>
      <c r="P46" s="3" t="n"/>
      <c r="Q46" s="3" t="n"/>
    </row>
    <row r="47" ht="83.5" customHeight="1" s="125">
      <c r="A47" s="3" t="inlineStr">
        <is>
          <t>B957</t>
        </is>
      </c>
      <c r="B47" s="3" t="n">
        <v>2</v>
      </c>
      <c r="C47" s="3" t="n"/>
      <c r="E47" s="3">
        <f>B47*0</f>
        <v/>
      </c>
      <c r="F47" s="3" t="n"/>
      <c r="G47" s="9">
        <f>8*4</f>
        <v/>
      </c>
      <c r="H47" s="3">
        <f>SUM(E47:G47)</f>
        <v/>
      </c>
      <c r="I47" s="62" t="inlineStr">
        <is>
          <t>Vihawk - Mtg, discusions,QAP appls. ; KOM with Flowserve-32h rel on 30/12[42]</t>
        </is>
      </c>
      <c r="J47" s="62" t="n"/>
      <c r="K47" s="62" t="n"/>
      <c r="L47" s="110" t="n"/>
      <c r="M47" s="111" t="n"/>
      <c r="N47" s="111" t="n"/>
      <c r="O47" s="112" t="n"/>
      <c r="P47" s="3" t="n"/>
      <c r="Q47" s="3" t="n"/>
    </row>
    <row r="48" ht="83.5" customHeight="1" s="125">
      <c r="A48" s="3" t="inlineStr">
        <is>
          <t>C007</t>
        </is>
      </c>
      <c r="B48" s="3" t="n">
        <v>9</v>
      </c>
      <c r="C48" s="3" t="n"/>
      <c r="E48" s="3" t="n"/>
      <c r="F48" s="3" t="n">
        <v>0</v>
      </c>
      <c r="G48" s="9" t="n"/>
      <c r="H48" s="3">
        <f>SUM(E48:G48)</f>
        <v/>
      </c>
      <c r="I48" s="62" t="inlineStr">
        <is>
          <t>Scope: Insp/Exp. of GAIL dir. Orders - Pipemill from 29/9 to 7/10 - 72h rel on 21/10 [264]-utilised in Sep</t>
        </is>
      </c>
      <c r="J48" s="62" t="n"/>
      <c r="K48" s="62" t="n"/>
      <c r="L48" s="110" t="inlineStr">
        <is>
          <t>Muthu/Hemant Gadasia/Rajeev Chak/RSKanna</t>
        </is>
      </c>
      <c r="M48" s="111" t="n"/>
      <c r="N48" s="111" t="n"/>
      <c r="O48" s="112" t="n"/>
      <c r="P48" s="3" t="inlineStr">
        <is>
          <t>Vijaypur/Pata P/L</t>
        </is>
      </c>
      <c r="Q48" s="3" t="n"/>
    </row>
    <row r="49" ht="83.5" customHeight="1" s="125">
      <c r="A49" s="3" t="inlineStr">
        <is>
          <t>C028</t>
        </is>
      </c>
      <c r="B49" s="3" t="n">
        <v>12</v>
      </c>
      <c r="C49" s="3" t="n"/>
      <c r="E49" s="3" t="n"/>
      <c r="F49" s="3" t="n"/>
      <c r="G49" s="9" t="n"/>
      <c r="H49" s="3">
        <f>8*B49</f>
        <v/>
      </c>
      <c r="I49" s="62" t="inlineStr">
        <is>
          <t>Pipemill Coating NV:12-25/11/25-96h rel on 23/12[96]</t>
        </is>
      </c>
      <c r="J49" s="62" t="n"/>
      <c r="K49" s="62" t="n"/>
      <c r="L49" s="110" t="n"/>
      <c r="M49" s="111" t="n"/>
      <c r="N49" s="111" t="n"/>
      <c r="O49" s="112" t="n"/>
      <c r="P49" s="3" t="n"/>
      <c r="Q49" s="3" t="n"/>
    </row>
    <row r="50" ht="46" customHeight="1" s="125">
      <c r="A50" s="3" t="inlineStr">
        <is>
          <t>Leave</t>
        </is>
      </c>
      <c r="B50" s="3" t="n">
        <v>6.5</v>
      </c>
      <c r="C50" s="3" t="n"/>
      <c r="D50" s="3" t="n"/>
      <c r="E50" s="3" t="n"/>
      <c r="F50" s="3" t="n"/>
      <c r="G50" s="9" t="inlineStr">
        <is>
          <t xml:space="preserve"> </t>
        </is>
      </c>
      <c r="H50" s="3">
        <f>8*B50</f>
        <v/>
      </c>
      <c r="I50" s="62" t="inlineStr">
        <is>
          <t>VR:, AG:11;SV-27;BT-5(0.5),24;NV-10,27,28</t>
        </is>
      </c>
      <c r="J50" s="62" t="n"/>
      <c r="K50" s="62" t="n"/>
      <c r="L50" s="110" t="inlineStr">
        <is>
          <t xml:space="preserve"> </t>
        </is>
      </c>
      <c r="M50" s="111" t="n"/>
      <c r="N50" s="111" t="n"/>
      <c r="O50" s="112" t="n"/>
      <c r="P50" s="3" t="n"/>
      <c r="Q50" s="3">
        <f>H50-P50</f>
        <v/>
      </c>
      <c r="R50" t="n">
        <v>68</v>
      </c>
    </row>
    <row r="51" ht="45.5" customHeight="1" s="125">
      <c r="A51" s="3" t="inlineStr">
        <is>
          <t>Total</t>
        </is>
      </c>
      <c r="B51" s="3">
        <f>SUM(B10:B50)</f>
        <v/>
      </c>
      <c r="C51" s="3" t="n"/>
      <c r="D51" s="3" t="n"/>
      <c r="E51" s="3" t="n"/>
      <c r="F51" s="3" t="n"/>
      <c r="G51" s="9" t="n"/>
      <c r="H51" s="3">
        <f>SUM(H4:H50)</f>
        <v/>
      </c>
      <c r="I51" s="56" t="n"/>
      <c r="J51" s="56" t="n"/>
      <c r="K51" s="56" t="n"/>
      <c r="L51" s="110" t="n"/>
      <c r="M51" s="111" t="n"/>
      <c r="N51" s="111" t="n"/>
      <c r="O51" s="112" t="n"/>
      <c r="P51" s="3" t="n"/>
      <c r="Q51" s="3">
        <f>H51-P51</f>
        <v/>
      </c>
      <c r="R51">
        <f>SUM(R10:R50)</f>
        <v/>
      </c>
      <c r="S51">
        <f>672-R51</f>
        <v/>
      </c>
    </row>
    <row r="52" ht="83.5" customHeight="1" s="125">
      <c r="A52" s="3" t="n"/>
      <c r="B52" s="3" t="n"/>
      <c r="C52" s="3" t="n"/>
      <c r="D52" s="3" t="n"/>
      <c r="E52" s="3" t="n"/>
      <c r="F52" s="3" t="n"/>
      <c r="G52" s="9" t="n"/>
      <c r="H52" s="3" t="inlineStr">
        <is>
          <t xml:space="preserve"> </t>
        </is>
      </c>
      <c r="I52" s="56" t="n"/>
      <c r="J52" s="56" t="n"/>
      <c r="K52" s="56">
        <f>52*5*3- 36</f>
        <v/>
      </c>
      <c r="L52" s="110" t="n"/>
      <c r="M52" s="111" t="n"/>
      <c r="N52" s="111" t="n"/>
      <c r="O52" s="112" t="n"/>
      <c r="P52" s="3" t="n"/>
      <c r="Q52" s="3" t="n"/>
    </row>
    <row r="53" ht="83.5" customHeight="1" s="125">
      <c r="A53" s="3" t="inlineStr">
        <is>
          <t>Notes:</t>
        </is>
      </c>
      <c r="B53" s="3" t="n"/>
      <c r="C53" s="3" t="n"/>
      <c r="D53" s="3" t="n"/>
      <c r="E53" s="3" t="n"/>
      <c r="F53" s="3" t="n"/>
      <c r="G53" s="9" t="n"/>
      <c r="H53" s="3" t="n"/>
      <c r="I53" s="56" t="n"/>
      <c r="J53" s="56" t="n"/>
      <c r="K53" s="56" t="n"/>
      <c r="L53" s="110" t="n"/>
      <c r="M53" s="111" t="inlineStr">
        <is>
          <t xml:space="preserve"> </t>
        </is>
      </c>
      <c r="N53" s="111" t="n"/>
      <c r="O53" s="112" t="n"/>
      <c r="P53" s="3" t="n"/>
      <c r="Q53" s="3" t="n"/>
    </row>
    <row r="54" ht="83.5" customHeight="1" s="125">
      <c r="A54" s="3" t="inlineStr">
        <is>
          <t>1. If there are any other job nos., pl. include the same.</t>
        </is>
      </c>
      <c r="B54" s="3" t="n"/>
      <c r="C54" s="3" t="n"/>
      <c r="D54" s="3" t="n"/>
      <c r="E54" s="3" t="n"/>
      <c r="F54" s="3" t="n"/>
      <c r="G54" s="9" t="n"/>
      <c r="H54" s="3" t="n"/>
      <c r="I54" s="9" t="inlineStr">
        <is>
          <t xml:space="preserve"> </t>
        </is>
      </c>
      <c r="J54" s="111" t="n"/>
      <c r="K54" s="112" t="n"/>
      <c r="L54" s="6" t="inlineStr">
        <is>
          <t xml:space="preserve"> </t>
        </is>
      </c>
      <c r="M54" s="7" t="inlineStr">
        <is>
          <t xml:space="preserve"> </t>
        </is>
      </c>
      <c r="N54" s="7" t="n"/>
      <c r="O54" s="8" t="n"/>
      <c r="P54" s="3" t="n"/>
      <c r="Q54" s="3" t="n"/>
    </row>
    <row r="55">
      <c r="A55" s="24" t="inlineStr">
        <is>
          <t xml:space="preserve">Guidelines : </t>
        </is>
      </c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</row>
    <row r="56">
      <c r="A56" s="26" t="inlineStr">
        <is>
          <t>1. Inspection Visit including review and endorsement of final documents: At  actual</t>
        </is>
      </c>
      <c r="B56" s="26" t="n"/>
      <c r="C56" s="26" t="n"/>
      <c r="D56" s="26" t="n"/>
    </row>
    <row r="57">
      <c r="A57" s="26" t="inlineStr">
        <is>
          <t xml:space="preserve">2. Expediting and preparation of expediting report: Average 2 hours /month /order ( No separate man hours for coordination ) </t>
        </is>
      </c>
      <c r="S57" t="inlineStr">
        <is>
          <t xml:space="preserve"> </t>
        </is>
      </c>
    </row>
    <row r="58">
      <c r="A58" s="26" t="inlineStr">
        <is>
          <t xml:space="preserve">3. Expediting visit/ Attending meeting with project/.Client: At  actual </t>
        </is>
      </c>
    </row>
    <row r="59">
      <c r="A59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0">
      <c r="A60" s="26" t="inlineStr">
        <is>
          <t xml:space="preserve">5. Review of ITP for Equipment (Mechanical and Electrical/DCS etc): Average 2 hours/order </t>
        </is>
      </c>
      <c r="O60" t="inlineStr">
        <is>
          <t xml:space="preserve"> </t>
        </is>
      </c>
    </row>
    <row r="61">
      <c r="A61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2">
      <c r="A62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3">
      <c r="A63" s="26" t="inlineStr">
        <is>
          <t xml:space="preserve">8. Order Closing report: Average 2 hours/Order  </t>
        </is>
      </c>
    </row>
    <row r="64">
      <c r="A64" s="27" t="n"/>
    </row>
    <row r="65">
      <c r="L65" t="inlineStr">
        <is>
          <t xml:space="preserve"> </t>
        </is>
      </c>
    </row>
  </sheetData>
  <mergeCells count="7">
    <mergeCell ref="I54:K54"/>
    <mergeCell ref="I11:K11"/>
    <mergeCell ref="I10:K10"/>
    <mergeCell ref="A2:K2"/>
    <mergeCell ref="L2:O2"/>
    <mergeCell ref="I3:K3"/>
    <mergeCell ref="A1:K1"/>
  </mergeCells>
  <pageMargins left="0.7" right="0.7" top="0.75" bottom="0.75" header="0.3" footer="0.3"/>
  <pageSetup orientation="landscape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topLeftCell="A22" workbookViewId="0">
      <selection activeCell="M22" sqref="M22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45962</v>
      </c>
      <c r="M1" s="122" t="inlineStr">
        <is>
          <t xml:space="preserve">Total MH reqd: </t>
        </is>
      </c>
      <c r="O1" s="122">
        <f>ConsolidatedMHrequirementNov25!A2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22/12/25</t>
        </is>
      </c>
      <c r="L3" s="33" t="inlineStr">
        <is>
          <t>Shortfall</t>
        </is>
      </c>
    </row>
    <row r="4" ht="15" customHeight="1" s="125">
      <c r="A4" s="71" t="n">
        <v>4994</v>
      </c>
      <c r="B4" s="3">
        <f>ConsolidatedMHrequirementNov25!B4</f>
        <v/>
      </c>
      <c r="C4" s="3" t="n"/>
      <c r="D4" s="3" t="n"/>
      <c r="E4" s="3" t="n"/>
      <c r="F4" s="41">
        <f>VLOOKUP(A4,ConsolidatedMHrequirementNov25!$A$4:$K$49,4,FALSE)</f>
        <v/>
      </c>
      <c r="G4" s="3">
        <f>ConsolidatedMHrequirementNov25!F4</f>
        <v/>
      </c>
      <c r="H4" s="3">
        <f>ConsolidatedMHrequirementNov25!E4</f>
        <v/>
      </c>
      <c r="I4" s="3">
        <f>ConsolidatedMHrequirementNov25!G4</f>
        <v/>
      </c>
      <c r="J4" s="41">
        <f>VLOOKUP(A4,ConsolidatedMHrequirementNov25!$A$4:$K$49,8,FALSE)</f>
        <v/>
      </c>
      <c r="K4" s="3" t="n">
        <v>64</v>
      </c>
      <c r="L4" s="3">
        <f>J4-K4</f>
        <v/>
      </c>
      <c r="M4" s="69">
        <f>ConsolidatedMHrequirementNov25!I4</f>
        <v/>
      </c>
    </row>
    <row r="5">
      <c r="A5" s="71" t="n">
        <v>6979</v>
      </c>
      <c r="B5" s="3">
        <f>ConsolidatedMHrequirementNov25!B5</f>
        <v/>
      </c>
      <c r="C5" s="3" t="n"/>
      <c r="D5" s="3" t="n"/>
      <c r="E5" s="3" t="n"/>
      <c r="F5" s="41">
        <f>VLOOKUP(A5,ConsolidatedMHrequirementNov25!$A$4:$K$49,4,FALSE)</f>
        <v/>
      </c>
      <c r="G5" s="3">
        <f>ConsolidatedMHrequirementNov25!F5</f>
        <v/>
      </c>
      <c r="H5" s="3">
        <f>ConsolidatedMHrequirementNov25!E5</f>
        <v/>
      </c>
      <c r="I5" s="3">
        <f>ConsolidatedMHrequirementNov25!G5</f>
        <v/>
      </c>
      <c r="J5" s="41">
        <f>VLOOKUP(A5,ConsolidatedMHrequirementNov25!$A$4:$K$49,8,FALSE)</f>
        <v/>
      </c>
      <c r="K5" s="3" t="n"/>
      <c r="L5" s="3">
        <f>J5-K5</f>
        <v/>
      </c>
      <c r="M5" s="69">
        <f>ConsolidatedMHrequirementNov25!I5</f>
        <v/>
      </c>
      <c r="N5" s="69" t="n"/>
      <c r="O5" s="69" t="n"/>
      <c r="P5" s="69" t="n"/>
      <c r="Q5" s="69" t="n"/>
      <c r="R5" s="69" t="n"/>
      <c r="S5" s="69" t="n"/>
      <c r="T5" s="69" t="n"/>
    </row>
    <row r="6" ht="14.5" customFormat="1" customHeight="1" s="34">
      <c r="A6" s="71" t="n">
        <v>7716</v>
      </c>
      <c r="B6" s="3">
        <f>ConsolidatedMHrequirementNov25!B6</f>
        <v/>
      </c>
      <c r="C6" s="3" t="n"/>
      <c r="D6" s="3" t="n"/>
      <c r="E6" s="3" t="n"/>
      <c r="F6" s="41">
        <f>VLOOKUP(A6,ConsolidatedMHrequirementNov25!$A$4:$K$49,4,FALSE)</f>
        <v/>
      </c>
      <c r="G6" s="3">
        <f>ConsolidatedMHrequirementNov25!F6</f>
        <v/>
      </c>
      <c r="H6" s="3">
        <f>ConsolidatedMHrequirementNov25!E6</f>
        <v/>
      </c>
      <c r="I6" s="3">
        <f>ConsolidatedMHrequirementNov25!G6</f>
        <v/>
      </c>
      <c r="J6" s="41">
        <f>VLOOKUP(A6,ConsolidatedMHrequirementNov25!$A$4:$K$49,8,FALSE)</f>
        <v/>
      </c>
      <c r="K6" s="44" t="n"/>
      <c r="L6" s="3">
        <f>J6-K6</f>
        <v/>
      </c>
      <c r="M6" s="69">
        <f>ConsolidatedMHrequirementNov25!I6</f>
        <v/>
      </c>
      <c r="N6" s="69" t="n"/>
      <c r="O6" s="69" t="n"/>
      <c r="P6" s="69" t="n"/>
      <c r="Q6" s="69" t="n"/>
      <c r="R6" s="69" t="n"/>
      <c r="S6" s="69" t="n"/>
      <c r="T6" s="69" t="n"/>
    </row>
    <row r="7" ht="14.5" customFormat="1" customHeight="1" s="34">
      <c r="A7" s="71" t="n">
        <v>8518</v>
      </c>
      <c r="B7" s="3">
        <f>ConsolidatedMHrequirementNov25!B7</f>
        <v/>
      </c>
      <c r="C7" s="3" t="n"/>
      <c r="D7" s="3" t="n"/>
      <c r="E7" s="3" t="n"/>
      <c r="F7" s="41">
        <f>VLOOKUP(A7,ConsolidatedMHrequirementNov25!$A$4:$K$49,4,FALSE)</f>
        <v/>
      </c>
      <c r="G7" s="3">
        <f>ConsolidatedMHrequirementNov25!F7</f>
        <v/>
      </c>
      <c r="H7" s="3">
        <f>ConsolidatedMHrequirementNov25!E7</f>
        <v/>
      </c>
      <c r="I7" s="3">
        <f>ConsolidatedMHrequirementNov25!G7</f>
        <v/>
      </c>
      <c r="J7" s="41">
        <f>VLOOKUP(A7,ConsolidatedMHrequirementNov25!$A$4:$K$49,8,FALSE)</f>
        <v/>
      </c>
      <c r="K7" s="44" t="n"/>
      <c r="L7" s="3">
        <f>J7-K7</f>
        <v/>
      </c>
      <c r="M7" s="69">
        <f>ConsolidatedMHrequirementNov25!I7</f>
        <v/>
      </c>
      <c r="N7" s="69" t="n"/>
      <c r="O7" s="69" t="n"/>
      <c r="P7" s="69" t="n"/>
      <c r="Q7" s="69" t="n"/>
      <c r="R7" s="69" t="n"/>
      <c r="S7" s="69" t="n"/>
      <c r="T7" s="69" t="n"/>
    </row>
    <row r="8" ht="14.5" customFormat="1" customHeight="1" s="34">
      <c r="A8" s="71" t="n">
        <v>8590</v>
      </c>
      <c r="B8" s="3">
        <f>ConsolidatedMHrequirementNov25!B8</f>
        <v/>
      </c>
      <c r="C8" s="3" t="n"/>
      <c r="D8" s="3" t="n"/>
      <c r="E8" s="3" t="n"/>
      <c r="F8" s="41">
        <f>VLOOKUP(A8,ConsolidatedMHrequirementNov25!$A$4:$K$49,4,FALSE)</f>
        <v/>
      </c>
      <c r="G8" s="3">
        <f>ConsolidatedMHrequirementNov25!F8</f>
        <v/>
      </c>
      <c r="H8" s="3">
        <f>ConsolidatedMHrequirementNov25!E8</f>
        <v/>
      </c>
      <c r="I8" s="3">
        <f>ConsolidatedMHrequirementNov25!G8</f>
        <v/>
      </c>
      <c r="J8" s="41">
        <f>VLOOKUP(A8,ConsolidatedMHrequirementNov25!$A$4:$K$49,8,FALSE)</f>
        <v/>
      </c>
      <c r="K8" s="44" t="n"/>
      <c r="L8" s="3">
        <f>J8-K8</f>
        <v/>
      </c>
      <c r="M8" s="69">
        <f>ConsolidatedMHrequirementNov25!I8</f>
        <v/>
      </c>
      <c r="N8" s="69" t="n"/>
      <c r="O8" s="69" t="n"/>
      <c r="P8" s="69" t="n"/>
      <c r="Q8" s="69" t="n"/>
      <c r="R8" s="69" t="n"/>
      <c r="S8" s="69" t="n"/>
      <c r="T8" s="69" t="n"/>
    </row>
    <row r="9" customFormat="1" s="34">
      <c r="A9" s="10" t="inlineStr">
        <is>
          <t>B016</t>
        </is>
      </c>
      <c r="B9" s="3">
        <f>ConsolidatedMHrequirementNov25!B9</f>
        <v/>
      </c>
      <c r="C9" s="41" t="n"/>
      <c r="D9" s="41" t="n"/>
      <c r="E9" s="41" t="n"/>
      <c r="F9" s="41">
        <f>VLOOKUP(A9,ConsolidatedMHrequirementNov25!$A$4:$K$49,4,FALSE)</f>
        <v/>
      </c>
      <c r="G9" s="3">
        <f>ConsolidatedMHrequirementNov25!F9</f>
        <v/>
      </c>
      <c r="H9" s="3">
        <f>ConsolidatedMHrequirementNov25!E9</f>
        <v/>
      </c>
      <c r="I9" s="3">
        <f>ConsolidatedMHrequirementNov25!G9</f>
        <v/>
      </c>
      <c r="J9" s="41">
        <f>VLOOKUP(A9,ConsolidatedMHrequirementNov25!$A$4:$K$49,8,FALSE)</f>
        <v/>
      </c>
      <c r="K9" s="44" t="n"/>
      <c r="L9" s="3">
        <f>J9-K9</f>
        <v/>
      </c>
      <c r="M9" s="84">
        <f>ConsolidatedMHrequirementNov25!I9</f>
        <v/>
      </c>
      <c r="N9" s="69" t="n"/>
      <c r="O9" s="69" t="n"/>
      <c r="P9" s="69" t="n"/>
      <c r="Q9" s="69" t="n"/>
      <c r="R9" s="69" t="n"/>
      <c r="S9" s="69" t="n"/>
      <c r="T9" s="69" t="n"/>
    </row>
    <row r="10" ht="15" customFormat="1" customHeight="1" s="34">
      <c r="A10" s="10" t="inlineStr">
        <is>
          <t>B035</t>
        </is>
      </c>
      <c r="B10" s="3">
        <f>ConsolidatedMHrequirementNov25!B10</f>
        <v/>
      </c>
      <c r="C10" s="41" t="n"/>
      <c r="D10" s="41" t="n"/>
      <c r="E10" s="41" t="n"/>
      <c r="F10" s="41">
        <f>VLOOKUP(A10,ConsolidatedMHrequirementNov25!$A$4:$K$49,4,FALSE)</f>
        <v/>
      </c>
      <c r="G10" s="3">
        <f>ConsolidatedMHrequirementNov25!F10</f>
        <v/>
      </c>
      <c r="H10" s="3">
        <f>ConsolidatedMHrequirementNov25!E10</f>
        <v/>
      </c>
      <c r="I10" s="3">
        <f>ConsolidatedMHrequirementNov25!G10</f>
        <v/>
      </c>
      <c r="J10" s="41">
        <f>VLOOKUP(A10,ConsolidatedMHrequirementNov25!$A$4:$K$49,8,FALSE)</f>
        <v/>
      </c>
      <c r="K10" s="41" t="n"/>
      <c r="L10" s="3">
        <f>J10-K10</f>
        <v/>
      </c>
      <c r="M10" s="84">
        <f>ConsolidatedMHrequirementNov25!I10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t="16.5" customFormat="1" customHeight="1" s="34">
      <c r="A11" s="10" t="inlineStr">
        <is>
          <t>B038</t>
        </is>
      </c>
      <c r="B11" s="3">
        <f>ConsolidatedMHrequirementNov25!B11</f>
        <v/>
      </c>
      <c r="C11" s="41" t="n"/>
      <c r="D11" s="41" t="n"/>
      <c r="E11" s="41" t="n"/>
      <c r="F11" s="41">
        <f>VLOOKUP(A11,ConsolidatedMHrequirementNov25!$A$4:$K$49,4,FALSE)</f>
        <v/>
      </c>
      <c r="G11" s="3">
        <f>ConsolidatedMHrequirementNov25!F11</f>
        <v/>
      </c>
      <c r="H11" s="3">
        <f>ConsolidatedMHrequirementNov25!E11</f>
        <v/>
      </c>
      <c r="I11" s="3">
        <f>ConsolidatedMHrequirementNov25!G11</f>
        <v/>
      </c>
      <c r="J11" s="41">
        <f>VLOOKUP(A11,ConsolidatedMHrequirementNov25!$A$4:$K$49,8,FALSE)</f>
        <v/>
      </c>
      <c r="K11" s="41" t="n"/>
      <c r="L11" s="3">
        <f>J11-K11</f>
        <v/>
      </c>
      <c r="M11" s="69" t="inlineStr">
        <is>
          <t>1order OCS</t>
        </is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customFormat="1" s="34">
      <c r="A12" s="10" t="inlineStr">
        <is>
          <t>B058</t>
        </is>
      </c>
      <c r="B12" s="3">
        <f>ConsolidatedMHrequirementNov25!B12</f>
        <v/>
      </c>
      <c r="C12" s="41" t="n"/>
      <c r="D12" s="41" t="n"/>
      <c r="E12" s="41" t="n"/>
      <c r="F12" s="41">
        <f>VLOOKUP(A12,ConsolidatedMHrequirementNov25!$A$4:$K$49,4,FALSE)</f>
        <v/>
      </c>
      <c r="G12" s="3">
        <f>ConsolidatedMHrequirementNov25!F12</f>
        <v/>
      </c>
      <c r="H12" s="3">
        <f>ConsolidatedMHrequirementNov25!E12</f>
        <v/>
      </c>
      <c r="I12" s="3">
        <f>ConsolidatedMHrequirementNov25!G12</f>
        <v/>
      </c>
      <c r="J12" s="41">
        <f>VLOOKUP(A12,ConsolidatedMHrequirementNov25!$A$4:$K$49,8,FALSE)</f>
        <v/>
      </c>
      <c r="K12" s="41" t="n"/>
      <c r="L12" s="3">
        <f>J12-K12</f>
        <v/>
      </c>
      <c r="M12" s="69">
        <f>ConsolidatedMHrequirementNov25!I12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ConsolidatedMHrequirementNov25!B13</f>
        <v/>
      </c>
      <c r="C13" s="3" t="n"/>
      <c r="D13" s="3" t="n"/>
      <c r="E13" s="3" t="n"/>
      <c r="F13" s="41">
        <f>VLOOKUP(A13,ConsolidatedMHrequirementNov25!$A$4:$K$49,4,FALSE)</f>
        <v/>
      </c>
      <c r="G13" s="3">
        <f>ConsolidatedMHrequirementNov25!F13</f>
        <v/>
      </c>
      <c r="H13" s="3">
        <f>ConsolidatedMHrequirementNov25!E13</f>
        <v/>
      </c>
      <c r="I13" s="3">
        <f>ConsolidatedMHrequirementNov25!G13</f>
        <v/>
      </c>
      <c r="J13" s="41">
        <f>VLOOKUP(A13,ConsolidatedMHrequirementNov25!$A$4:$K$49,8,FALSE)</f>
        <v/>
      </c>
      <c r="K13" s="44" t="n">
        <v>116</v>
      </c>
      <c r="L13" s="3">
        <f>J13-K13</f>
        <v/>
      </c>
      <c r="M13" s="69">
        <f>ConsolidatedMHrequirementNov25!I13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customFormat="1" s="34">
      <c r="A14" s="10" t="inlineStr">
        <is>
          <t>B229</t>
        </is>
      </c>
      <c r="B14" s="3">
        <f>ConsolidatedMHrequirementNov25!B14</f>
        <v/>
      </c>
      <c r="C14" s="41" t="n"/>
      <c r="D14" s="41" t="n"/>
      <c r="E14" s="41" t="n"/>
      <c r="F14" s="41">
        <f>VLOOKUP(A14,ConsolidatedMHrequirementNov25!$A$4:$K$49,4,FALSE)</f>
        <v/>
      </c>
      <c r="G14" s="3">
        <f>ConsolidatedMHrequirementNov25!F14</f>
        <v/>
      </c>
      <c r="H14" s="3">
        <f>ConsolidatedMHrequirementNov25!E14</f>
        <v/>
      </c>
      <c r="I14" s="3">
        <f>ConsolidatedMHrequirementNov25!G14</f>
        <v/>
      </c>
      <c r="J14" s="41">
        <f>VLOOKUP(A14,ConsolidatedMHrequirementNov25!$A$4:$K$49,8,FALSE)</f>
        <v/>
      </c>
      <c r="K14" s="41" t="n"/>
      <c r="L14" s="3">
        <f>J14-K14</f>
        <v/>
      </c>
      <c r="M14" s="69">
        <f>ConsolidatedMHrequirementNov25!I14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ConsolidatedMHrequirementNov25!B15</f>
        <v/>
      </c>
      <c r="C15" s="3" t="n"/>
      <c r="D15" s="3" t="n"/>
      <c r="E15" s="3" t="n"/>
      <c r="F15" s="41">
        <f>VLOOKUP(A15,ConsolidatedMHrequirementNov25!$A$4:$K$49,4,FALSE)</f>
        <v/>
      </c>
      <c r="G15" s="3">
        <f>ConsolidatedMHrequirementNov25!F15</f>
        <v/>
      </c>
      <c r="H15" s="3">
        <f>ConsolidatedMHrequirementNov25!E15</f>
        <v/>
      </c>
      <c r="I15" s="3">
        <f>ConsolidatedMHrequirementNov25!G15</f>
        <v/>
      </c>
      <c r="J15" s="41">
        <f>VLOOKUP(A15,ConsolidatedMHrequirementNov25!$A$4:$K$49,8,FALSE)</f>
        <v/>
      </c>
      <c r="K15" s="41" t="n">
        <v>40</v>
      </c>
      <c r="L15" s="3">
        <f>J15-K15</f>
        <v/>
      </c>
      <c r="M15" s="69">
        <f>ConsolidatedMHrequirementNov25!I15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customFormat="1" s="34">
      <c r="A16" s="10" t="inlineStr">
        <is>
          <t>B285</t>
        </is>
      </c>
      <c r="B16" s="3">
        <f>ConsolidatedMHrequirementNov25!B16</f>
        <v/>
      </c>
      <c r="C16" s="41" t="n"/>
      <c r="D16" s="41" t="n"/>
      <c r="E16" s="41" t="n"/>
      <c r="F16" s="41">
        <f>VLOOKUP(A16,ConsolidatedMHrequirementNov25!$A$4:$K$49,4,FALSE)</f>
        <v/>
      </c>
      <c r="G16" s="3">
        <f>ConsolidatedMHrequirementNov25!F16</f>
        <v/>
      </c>
      <c r="H16" s="3">
        <f>ConsolidatedMHrequirementNov25!E16</f>
        <v/>
      </c>
      <c r="I16" s="3">
        <f>ConsolidatedMHrequirementNov25!G16</f>
        <v/>
      </c>
      <c r="J16" s="41">
        <f>VLOOKUP(A16,ConsolidatedMHrequirementNov25!$A$4:$K$49,8,FALSE)</f>
        <v/>
      </c>
      <c r="K16" s="41" t="n"/>
      <c r="L16" s="3">
        <f>J16-K16</f>
        <v/>
      </c>
      <c r="M16" s="69">
        <f>ConsolidatedMHrequirementNov25!I16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ConsolidatedMHrequirementNov25!B17</f>
        <v/>
      </c>
      <c r="C17" s="41" t="n"/>
      <c r="D17" s="41" t="n"/>
      <c r="E17" s="41" t="n"/>
      <c r="F17" s="41">
        <f>VLOOKUP(A17,ConsolidatedMHrequirementNov25!$A$4:$K$49,4,FALSE)</f>
        <v/>
      </c>
      <c r="G17" s="3">
        <f>ConsolidatedMHrequirementNov25!F17</f>
        <v/>
      </c>
      <c r="H17" s="3">
        <f>ConsolidatedMHrequirementNov25!E17</f>
        <v/>
      </c>
      <c r="I17" s="3">
        <f>ConsolidatedMHrequirementNov25!G17</f>
        <v/>
      </c>
      <c r="J17" s="41">
        <f>VLOOKUP(A17,ConsolidatedMHrequirementNov25!$A$4:$K$49,8,FALSE)</f>
        <v/>
      </c>
      <c r="K17" s="41" t="n"/>
      <c r="L17" s="3">
        <f>J17-K17</f>
        <v/>
      </c>
      <c r="M17" s="69">
        <f>ConsolidatedMHrequirementNov25!I17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ConsolidatedMHrequirementNov25!B18</f>
        <v/>
      </c>
      <c r="C18" s="41" t="n"/>
      <c r="D18" s="41" t="n"/>
      <c r="E18" s="41" t="n"/>
      <c r="F18" s="41">
        <f>VLOOKUP(A18,ConsolidatedMHrequirementNov25!$A$4:$K$49,4,FALSE)</f>
        <v/>
      </c>
      <c r="G18" s="3">
        <f>ConsolidatedMHrequirementNov25!F18</f>
        <v/>
      </c>
      <c r="H18" s="3">
        <f>ConsolidatedMHrequirementNov25!E18</f>
        <v/>
      </c>
      <c r="I18" s="3">
        <f>ConsolidatedMHrequirementNov25!G18</f>
        <v/>
      </c>
      <c r="J18" s="41">
        <f>VLOOKUP(A18,ConsolidatedMHrequirementNov25!$A$4:$K$49,8,FALSE)</f>
        <v/>
      </c>
      <c r="K18" s="41" t="n"/>
      <c r="L18" s="3">
        <f>J18-K18</f>
        <v/>
      </c>
      <c r="M18" s="69">
        <f>ConsolidatedMHrequirementNov25!I18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t="15" customFormat="1" customHeight="1" s="34">
      <c r="A19" s="10" t="inlineStr">
        <is>
          <t>B348</t>
        </is>
      </c>
      <c r="B19" s="3">
        <f>ConsolidatedMHrequirementNov25!B19</f>
        <v/>
      </c>
      <c r="C19" s="41" t="n"/>
      <c r="D19" s="41" t="n"/>
      <c r="E19" s="41" t="n"/>
      <c r="F19" s="41">
        <f>VLOOKUP(A19,ConsolidatedMHrequirementNov25!$A$4:$K$49,4,FALSE)</f>
        <v/>
      </c>
      <c r="G19" s="3">
        <f>ConsolidatedMHrequirementNov25!F19</f>
        <v/>
      </c>
      <c r="H19" s="3">
        <f>ConsolidatedMHrequirementNov25!E19</f>
        <v/>
      </c>
      <c r="I19" s="3">
        <f>ConsolidatedMHrequirementNov25!G19</f>
        <v/>
      </c>
      <c r="J19" s="41">
        <f>VLOOKUP(A19,ConsolidatedMHrequirementNov25!$A$4:$K$49,8,FALSE)</f>
        <v/>
      </c>
      <c r="K19" s="41" t="n"/>
      <c r="L19" s="3">
        <f>J19-K19</f>
        <v/>
      </c>
      <c r="M19" s="69">
        <f>ConsolidatedMHrequirementNov25!I19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t="15.5" customFormat="1" customHeight="1" s="34">
      <c r="A20" s="10" t="inlineStr">
        <is>
          <t>B359</t>
        </is>
      </c>
      <c r="B20" s="3">
        <f>ConsolidatedMHrequirementNov25!B20</f>
        <v/>
      </c>
      <c r="C20" s="41" t="n"/>
      <c r="D20" s="41" t="n"/>
      <c r="E20" s="41" t="n"/>
      <c r="F20" s="41">
        <f>VLOOKUP(A20,ConsolidatedMHrequirementNov25!$A$4:$K$49,4,FALSE)</f>
        <v/>
      </c>
      <c r="G20" s="3">
        <f>ConsolidatedMHrequirementNov25!F20</f>
        <v/>
      </c>
      <c r="H20" s="3">
        <f>ConsolidatedMHrequirementNov25!E20</f>
        <v/>
      </c>
      <c r="I20" s="3">
        <f>ConsolidatedMHrequirementNov25!G20</f>
        <v/>
      </c>
      <c r="J20" s="41">
        <f>VLOOKUP(A20,ConsolidatedMHrequirementNov25!$A$4:$K$49,8,FALSE)</f>
        <v/>
      </c>
      <c r="K20" s="41" t="n">
        <v>16</v>
      </c>
      <c r="L20" s="3">
        <f>J20-K20</f>
        <v/>
      </c>
      <c r="M20" s="69">
        <f>ConsolidatedMHrequirementNov25!I20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t="15" customFormat="1" customHeight="1" s="34">
      <c r="A21" s="10" t="inlineStr">
        <is>
          <t>B378</t>
        </is>
      </c>
      <c r="B21" s="3">
        <f>ConsolidatedMHrequirementNov25!B21</f>
        <v/>
      </c>
      <c r="C21" s="41" t="n"/>
      <c r="D21" s="41" t="n"/>
      <c r="E21" s="41" t="n"/>
      <c r="F21" s="41">
        <f>VLOOKUP(A21,ConsolidatedMHrequirementNov25!$A$4:$K$49,4,FALSE)</f>
        <v/>
      </c>
      <c r="G21" s="3">
        <f>ConsolidatedMHrequirementNov25!F21</f>
        <v/>
      </c>
      <c r="H21" s="3">
        <f>ConsolidatedMHrequirementNov25!E21</f>
        <v/>
      </c>
      <c r="I21" s="3">
        <f>ConsolidatedMHrequirementNov25!G21</f>
        <v/>
      </c>
      <c r="J21" s="41">
        <f>VLOOKUP(A21,ConsolidatedMHrequirementNov25!$A$4:$K$49,8,FALSE)</f>
        <v/>
      </c>
      <c r="K21" s="44" t="n">
        <v>76</v>
      </c>
      <c r="L21" s="3">
        <f>J21-K21</f>
        <v/>
      </c>
      <c r="M21" s="69">
        <f>ConsolidatedMHrequirementNov25!I21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B414</t>
        </is>
      </c>
      <c r="B22" s="3">
        <f>ConsolidatedMHrequirementNov25!B22</f>
        <v/>
      </c>
      <c r="C22" s="41" t="n"/>
      <c r="D22" s="41" t="n"/>
      <c r="E22" s="41" t="n"/>
      <c r="F22" s="41">
        <f>VLOOKUP(A22,ConsolidatedMHrequirementNov25!$A$4:$K$49,4,FALSE)</f>
        <v/>
      </c>
      <c r="G22" s="3">
        <f>ConsolidatedMHrequirementNov25!F22</f>
        <v/>
      </c>
      <c r="H22" s="3">
        <f>ConsolidatedMHrequirementNov25!E22</f>
        <v/>
      </c>
      <c r="I22" s="3">
        <f>ConsolidatedMHrequirementNov25!G22</f>
        <v/>
      </c>
      <c r="J22" s="41">
        <f>VLOOKUP(A22,ConsolidatedMHrequirementNov25!$A$4:$K$49,8,FALSE)</f>
        <v/>
      </c>
      <c r="K22" s="41" t="n">
        <v>100</v>
      </c>
      <c r="L22" s="3">
        <f>J22-K22</f>
        <v/>
      </c>
      <c r="M22" s="69">
        <f>ConsolidatedMHrequirementNov25!I22</f>
        <v/>
      </c>
      <c r="N22" s="69" t="n"/>
      <c r="O22" s="69" t="n"/>
      <c r="P22" s="69" t="n"/>
      <c r="Q22" s="69" t="n"/>
      <c r="R22" s="69" t="n"/>
      <c r="S22" s="69" t="n"/>
      <c r="T22" s="69" t="n"/>
      <c r="V22" s="48" t="n"/>
      <c r="W22" s="48" t="n"/>
      <c r="X22" s="48" t="n"/>
      <c r="Y22" s="48" t="n"/>
    </row>
    <row r="23" ht="15" customFormat="1" customHeight="1" s="34">
      <c r="A23" s="10" t="inlineStr">
        <is>
          <t>B436</t>
        </is>
      </c>
      <c r="B23" s="3">
        <f>ConsolidatedMHrequirementNov25!B23</f>
        <v/>
      </c>
      <c r="C23" s="41" t="n"/>
      <c r="D23" s="41" t="n"/>
      <c r="E23" s="41" t="n"/>
      <c r="F23" s="41">
        <f>VLOOKUP(A23,ConsolidatedMHrequirementNov25!$A$4:$K$49,4,FALSE)</f>
        <v/>
      </c>
      <c r="G23" s="3">
        <f>ConsolidatedMHrequirementNov25!F23</f>
        <v/>
      </c>
      <c r="H23" s="3">
        <f>ConsolidatedMHrequirementNov25!E23</f>
        <v/>
      </c>
      <c r="I23" s="3">
        <f>ConsolidatedMHrequirementNov25!G23</f>
        <v/>
      </c>
      <c r="J23" s="41">
        <f>VLOOKUP(A23,ConsolidatedMHrequirementNov25!$A$4:$K$49,8,FALSE)</f>
        <v/>
      </c>
      <c r="K23" s="41" t="n"/>
      <c r="L23" s="3">
        <f>J23-K23</f>
        <v/>
      </c>
      <c r="M23" s="69">
        <f>ConsolidatedMHrequirementNov25!I23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t="15" customFormat="1" customHeight="1" s="34">
      <c r="A24" s="10" t="inlineStr">
        <is>
          <t>B440</t>
        </is>
      </c>
      <c r="B24" s="3">
        <f>ConsolidatedMHrequirementNov25!B24</f>
        <v/>
      </c>
      <c r="C24" s="41" t="n"/>
      <c r="D24" s="41" t="n"/>
      <c r="E24" s="41" t="n"/>
      <c r="F24" s="41">
        <f>VLOOKUP(A24,ConsolidatedMHrequirementNov25!$A$4:$K$49,4,FALSE)</f>
        <v/>
      </c>
      <c r="G24" s="3">
        <f>ConsolidatedMHrequirementNov25!F24</f>
        <v/>
      </c>
      <c r="H24" s="3">
        <f>ConsolidatedMHrequirementNov25!E24</f>
        <v/>
      </c>
      <c r="I24" s="3">
        <f>ConsolidatedMHrequirementNov25!G24</f>
        <v/>
      </c>
      <c r="J24" s="41">
        <f>VLOOKUP(A24,ConsolidatedMHrequirementNov25!$A$4:$K$49,8,FALSE)</f>
        <v/>
      </c>
      <c r="K24" s="41" t="n">
        <v>0</v>
      </c>
      <c r="L24" s="3">
        <f>J24-K24</f>
        <v/>
      </c>
      <c r="M24" s="69">
        <f>ConsolidatedMHrequirementNov25!I24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t="15" customFormat="1" customHeight="1" s="34">
      <c r="A25" s="10" t="inlineStr">
        <is>
          <t>B448</t>
        </is>
      </c>
      <c r="B25" s="3">
        <f>ConsolidatedMHrequirementNov25!B25</f>
        <v/>
      </c>
      <c r="C25" s="41" t="n"/>
      <c r="D25" s="41" t="n"/>
      <c r="E25" s="41" t="n"/>
      <c r="F25" s="41">
        <f>VLOOKUP(A25,ConsolidatedMHrequirementNov25!$A$4:$K$49,4,FALSE)</f>
        <v/>
      </c>
      <c r="G25" s="3">
        <f>ConsolidatedMHrequirementNov25!F25</f>
        <v/>
      </c>
      <c r="H25" s="3">
        <f>ConsolidatedMHrequirementNov25!E25</f>
        <v/>
      </c>
      <c r="I25" s="3">
        <f>ConsolidatedMHrequirementNov25!G25</f>
        <v/>
      </c>
      <c r="J25" s="41">
        <f>VLOOKUP(A25,ConsolidatedMHrequirementNov25!$A$4:$K$49,8,FALSE)</f>
        <v/>
      </c>
      <c r="K25" s="41" t="n">
        <v>48</v>
      </c>
      <c r="L25" s="3">
        <f>J25-K25</f>
        <v/>
      </c>
      <c r="M25" s="69">
        <f>ConsolidatedMHrequirementNov25!I25</f>
        <v/>
      </c>
      <c r="N25" s="69" t="n"/>
      <c r="O25" s="69" t="n"/>
      <c r="P25" s="69" t="n"/>
      <c r="Q25" s="69" t="n"/>
      <c r="R25" s="69" t="n"/>
      <c r="S25" s="69" t="n"/>
      <c r="T25" s="69" t="n"/>
      <c r="V25" s="34" t="inlineStr">
        <is>
          <t xml:space="preserve"> </t>
        </is>
      </c>
      <c r="W25" s="34" t="inlineStr">
        <is>
          <t xml:space="preserve"> </t>
        </is>
      </c>
      <c r="X25" s="34" t="inlineStr">
        <is>
          <t xml:space="preserve"> </t>
        </is>
      </c>
      <c r="Y25" s="34" t="inlineStr">
        <is>
          <t xml:space="preserve"> </t>
        </is>
      </c>
    </row>
    <row r="26" ht="15" customFormat="1" customHeight="1" s="34">
      <c r="A26" s="10" t="inlineStr">
        <is>
          <t>B519</t>
        </is>
      </c>
      <c r="B26" s="3">
        <f>ConsolidatedMHrequirementNov25!B26</f>
        <v/>
      </c>
      <c r="C26" s="3" t="n"/>
      <c r="D26" s="3" t="n"/>
      <c r="E26" s="3" t="n"/>
      <c r="F26" s="41">
        <f>VLOOKUP(A26,ConsolidatedMHrequirementNov25!$A$4:$K$49,4,FALSE)</f>
        <v/>
      </c>
      <c r="G26" s="3">
        <f>ConsolidatedMHrequirementNov25!F26</f>
        <v/>
      </c>
      <c r="H26" s="3">
        <f>ConsolidatedMHrequirementNov25!E26</f>
        <v/>
      </c>
      <c r="I26" s="3">
        <f>ConsolidatedMHrequirementNov25!G26</f>
        <v/>
      </c>
      <c r="J26" s="41">
        <f>VLOOKUP(A26,ConsolidatedMHrequirementNov25!$A$4:$K$49,8,FALSE)</f>
        <v/>
      </c>
      <c r="K26" s="41" t="n"/>
      <c r="L26" s="3">
        <f>J26-K26</f>
        <v/>
      </c>
      <c r="M26" s="69">
        <f>ConsolidatedMHrequirementNov25!I26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 xml:space="preserve"> </t>
        </is>
      </c>
      <c r="W26" s="34" t="inlineStr">
        <is>
          <t xml:space="preserve"> </t>
        </is>
      </c>
    </row>
    <row r="27">
      <c r="A27" s="10" t="inlineStr">
        <is>
          <t>B548</t>
        </is>
      </c>
      <c r="B27" s="3">
        <f>ConsolidatedMHrequirementNov25!B27</f>
        <v/>
      </c>
      <c r="C27" s="41" t="n"/>
      <c r="D27" s="41" t="n"/>
      <c r="E27" s="41" t="n"/>
      <c r="F27" s="41">
        <f>VLOOKUP(A27,ConsolidatedMHrequirementNov25!$A$4:$K$49,4,FALSE)</f>
        <v/>
      </c>
      <c r="G27" s="3">
        <f>ConsolidatedMHrequirementNov25!F27</f>
        <v/>
      </c>
      <c r="H27" s="3">
        <f>ConsolidatedMHrequirementNov25!E27</f>
        <v/>
      </c>
      <c r="I27" s="3">
        <f>ConsolidatedMHrequirementNov25!G27</f>
        <v/>
      </c>
      <c r="J27" s="41">
        <f>VLOOKUP(A27,ConsolidatedMHrequirementNov25!$A$4:$K$49,8,FALSE)</f>
        <v/>
      </c>
      <c r="K27" s="41" t="n"/>
      <c r="L27" s="3">
        <f>J27-K27</f>
        <v/>
      </c>
      <c r="M27" s="69">
        <f>ConsolidatedMHrequirementNov25!I27</f>
        <v/>
      </c>
      <c r="N27" s="69" t="n"/>
      <c r="O27" s="69" t="n"/>
      <c r="P27" s="69" t="n"/>
      <c r="Q27" s="69" t="n"/>
      <c r="R27" s="69" t="n"/>
      <c r="S27" s="69" t="n"/>
      <c r="T27" s="69" t="n"/>
    </row>
    <row r="28" ht="15" customFormat="1" customHeight="1" s="34">
      <c r="A28" s="10" t="inlineStr">
        <is>
          <t>B559</t>
        </is>
      </c>
      <c r="B28" s="3">
        <f>ConsolidatedMHrequirementNov25!B28</f>
        <v/>
      </c>
      <c r="C28" s="3" t="n"/>
      <c r="D28" s="3" t="n"/>
      <c r="E28" s="3" t="n"/>
      <c r="F28" s="41">
        <f>VLOOKUP(A28,ConsolidatedMHrequirementNov25!$A$4:$K$49,4,FALSE)</f>
        <v/>
      </c>
      <c r="G28" s="3">
        <f>ConsolidatedMHrequirementNov25!F28</f>
        <v/>
      </c>
      <c r="H28" s="3">
        <f>ConsolidatedMHrequirementNov25!E28</f>
        <v/>
      </c>
      <c r="I28" s="3">
        <f>ConsolidatedMHrequirementNov25!G28</f>
        <v/>
      </c>
      <c r="J28" s="41">
        <f>VLOOKUP(A28,ConsolidatedMHrequirementNov25!$A$4:$K$49,8,FALSE)</f>
        <v/>
      </c>
      <c r="K28" s="41" t="n"/>
      <c r="L28" s="3">
        <f>J28-K28</f>
        <v/>
      </c>
      <c r="M28" s="69">
        <f>ConsolidatedMHrequirementNov25!I28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t="15" customFormat="1" customHeight="1" s="34">
      <c r="A29" s="10" t="inlineStr">
        <is>
          <t>B560</t>
        </is>
      </c>
      <c r="B29" s="3">
        <f>ConsolidatedMHrequirementNov25!B29</f>
        <v/>
      </c>
      <c r="C29" s="41" t="n"/>
      <c r="D29" s="41" t="n"/>
      <c r="E29" s="41" t="n"/>
      <c r="F29" s="41">
        <f>VLOOKUP(A29,ConsolidatedMHrequirementNov25!$A$4:$K$49,4,FALSE)</f>
        <v/>
      </c>
      <c r="G29" s="3">
        <f>ConsolidatedMHrequirementNov25!F29</f>
        <v/>
      </c>
      <c r="H29" s="3">
        <f>ConsolidatedMHrequirementNov25!E29</f>
        <v/>
      </c>
      <c r="I29" s="3">
        <f>ConsolidatedMHrequirementNov25!G29</f>
        <v/>
      </c>
      <c r="J29" s="41">
        <f>VLOOKUP(A29,ConsolidatedMHrequirementNov25!$A$4:$K$49,8,FALSE)</f>
        <v/>
      </c>
      <c r="K29" s="41" t="n"/>
      <c r="L29" s="3">
        <f>J29-K29</f>
        <v/>
      </c>
      <c r="M29" s="69">
        <f>ConsolidatedMHrequirementNov25!I29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>
      <c r="A30" s="10" t="inlineStr">
        <is>
          <t>B589</t>
        </is>
      </c>
      <c r="B30" s="3">
        <f>ConsolidatedMHrequirementNov25!B30</f>
        <v/>
      </c>
      <c r="C30" s="3" t="n"/>
      <c r="D30" s="3" t="n"/>
      <c r="E30" s="3" t="n"/>
      <c r="F30" s="41">
        <f>VLOOKUP(A30,ConsolidatedMHrequirementNov25!$A$4:$K$49,4,FALSE)</f>
        <v/>
      </c>
      <c r="G30" s="3">
        <f>ConsolidatedMHrequirementNov25!F30</f>
        <v/>
      </c>
      <c r="H30" s="3">
        <f>ConsolidatedMHrequirementNov25!E30</f>
        <v/>
      </c>
      <c r="I30" s="3">
        <f>ConsolidatedMHrequirementNov25!G30</f>
        <v/>
      </c>
      <c r="J30" s="41">
        <f>VLOOKUP(A30,ConsolidatedMHrequirementNov25!$A$4:$K$49,8,FALSE)</f>
        <v/>
      </c>
      <c r="K30" s="41" t="n"/>
      <c r="L30" s="3">
        <f>J30-K30</f>
        <v/>
      </c>
      <c r="M30" s="69">
        <f>ConsolidatedMHrequirementNov25!I30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customFormat="1" s="34">
      <c r="A31" s="10" t="inlineStr">
        <is>
          <t>B650</t>
        </is>
      </c>
      <c r="B31" s="3">
        <f>ConsolidatedMHrequirementNov25!B31</f>
        <v/>
      </c>
      <c r="C31" s="3" t="n"/>
      <c r="D31" s="3" t="n"/>
      <c r="E31" s="3" t="n"/>
      <c r="F31" s="41">
        <f>VLOOKUP(A31,ConsolidatedMHrequirementNov25!$A$4:$K$49,4,FALSE)</f>
        <v/>
      </c>
      <c r="G31" s="3">
        <f>ConsolidatedMHrequirementNov25!F31</f>
        <v/>
      </c>
      <c r="H31" s="3">
        <f>ConsolidatedMHrequirementNov25!E31</f>
        <v/>
      </c>
      <c r="I31" s="3">
        <f>ConsolidatedMHrequirementNov25!G31</f>
        <v/>
      </c>
      <c r="J31" s="41">
        <f>VLOOKUP(A31,ConsolidatedMHrequirementNov25!$A$4:$K$49,8,FALSE)</f>
        <v/>
      </c>
      <c r="K31" s="41" t="n"/>
      <c r="L31" s="3">
        <f>J31-K31</f>
        <v/>
      </c>
      <c r="M31" s="69">
        <f>ConsolidatedMHrequirementNov25!I31</f>
        <v/>
      </c>
      <c r="N31" s="69" t="n"/>
      <c r="O31" s="69" t="n"/>
      <c r="P31" s="69" t="n"/>
      <c r="Q31" s="69" t="n"/>
      <c r="R31" s="69" t="n"/>
      <c r="S31" s="69" t="n"/>
      <c r="T31" s="69" t="n"/>
      <c r="X31" s="34" t="inlineStr">
        <is>
          <t xml:space="preserve"> </t>
        </is>
      </c>
    </row>
    <row r="32" ht="15" customFormat="1" customHeight="1" s="34">
      <c r="A32" s="10" t="inlineStr">
        <is>
          <t>B653</t>
        </is>
      </c>
      <c r="B32" s="3">
        <f>ConsolidatedMHrequirementNov25!B32</f>
        <v/>
      </c>
      <c r="C32" s="3" t="n"/>
      <c r="D32" s="3" t="n"/>
      <c r="E32" s="3" t="n"/>
      <c r="F32" s="41">
        <f>VLOOKUP(A32,ConsolidatedMHrequirementNov25!$A$4:$K$49,4,FALSE)</f>
        <v/>
      </c>
      <c r="G32" s="3">
        <f>ConsolidatedMHrequirementNov25!F32</f>
        <v/>
      </c>
      <c r="H32" s="3">
        <f>ConsolidatedMHrequirementNov25!E32</f>
        <v/>
      </c>
      <c r="I32" s="3">
        <f>ConsolidatedMHrequirementNov25!G32</f>
        <v/>
      </c>
      <c r="J32" s="41">
        <f>VLOOKUP(A32,ConsolidatedMHrequirementNov25!$A$4:$K$49,8,FALSE)</f>
        <v/>
      </c>
      <c r="K32" s="41" t="n">
        <v>60</v>
      </c>
      <c r="L32" s="3">
        <f>J32-K32</f>
        <v/>
      </c>
      <c r="M32" s="69">
        <f>ConsolidatedMHrequirementNov25!I32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ht="14.5" customFormat="1" customHeight="1" s="34">
      <c r="A33" s="10" t="inlineStr">
        <is>
          <t>B725</t>
        </is>
      </c>
      <c r="B33" s="3">
        <f>ConsolidatedMHrequirementNov25!B33</f>
        <v/>
      </c>
      <c r="C33" s="3" t="n"/>
      <c r="D33" s="3" t="n"/>
      <c r="E33" s="3" t="n"/>
      <c r="F33" s="41">
        <f>VLOOKUP(A33,ConsolidatedMHrequirementNov25!$A$4:$K$49,4,FALSE)</f>
        <v/>
      </c>
      <c r="G33" s="3">
        <f>ConsolidatedMHrequirementNov25!F33</f>
        <v/>
      </c>
      <c r="H33" s="3">
        <f>ConsolidatedMHrequirementNov25!E33</f>
        <v/>
      </c>
      <c r="I33" s="3">
        <f>ConsolidatedMHrequirementNov25!G33</f>
        <v/>
      </c>
      <c r="J33" s="41">
        <f>VLOOKUP(A33,ConsolidatedMHrequirementNov25!$A$4:$K$49,8,FALSE)</f>
        <v/>
      </c>
      <c r="K33" s="41" t="n"/>
      <c r="L33" s="3">
        <f>J33-K33</f>
        <v/>
      </c>
      <c r="M33" s="69">
        <f>ConsolidatedMHrequirementNov25!I33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ht="14.5" customFormat="1" customHeight="1" s="34">
      <c r="A34" s="10" t="inlineStr">
        <is>
          <t>B767</t>
        </is>
      </c>
      <c r="B34" s="3">
        <f>ConsolidatedMHrequirementNov25!B34</f>
        <v/>
      </c>
      <c r="C34" s="3" t="n"/>
      <c r="D34" s="3" t="n"/>
      <c r="E34" s="3" t="n"/>
      <c r="F34" s="41">
        <f>VLOOKUP(A34,ConsolidatedMHrequirementNov25!$A$4:$K$49,4,FALSE)</f>
        <v/>
      </c>
      <c r="G34" s="3">
        <f>ConsolidatedMHrequirementNov25!F34</f>
        <v/>
      </c>
      <c r="H34" s="3">
        <f>ConsolidatedMHrequirementNov25!E34</f>
        <v/>
      </c>
      <c r="I34" s="3">
        <f>ConsolidatedMHrequirementNov25!G34</f>
        <v/>
      </c>
      <c r="J34" s="41">
        <f>VLOOKUP(A34,ConsolidatedMHrequirementNov25!$A$4:$K$49,8,FALSE)</f>
        <v/>
      </c>
      <c r="K34" s="41" t="n"/>
      <c r="L34" s="3">
        <f>J34-K34</f>
        <v/>
      </c>
      <c r="M34" s="69">
        <f>ConsolidatedMHrequirementNov25!I34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t="14.5" customFormat="1" customHeight="1" s="34">
      <c r="A35" s="10" t="inlineStr">
        <is>
          <t>B795</t>
        </is>
      </c>
      <c r="B35" s="3">
        <f>ConsolidatedMHrequirementNov25!B35</f>
        <v/>
      </c>
      <c r="C35" s="3" t="n"/>
      <c r="D35" s="3" t="n"/>
      <c r="E35" s="3" t="n"/>
      <c r="F35" s="41">
        <f>VLOOKUP(A35,ConsolidatedMHrequirementNov25!$A$4:$K$49,4,FALSE)</f>
        <v/>
      </c>
      <c r="G35" s="3">
        <f>ConsolidatedMHrequirementNov25!F35</f>
        <v/>
      </c>
      <c r="H35" s="3">
        <f>ConsolidatedMHrequirementNov25!E35</f>
        <v/>
      </c>
      <c r="I35" s="3">
        <f>ConsolidatedMHrequirementNov25!G35</f>
        <v/>
      </c>
      <c r="J35" s="41">
        <f>VLOOKUP(A35,ConsolidatedMHrequirementNov25!$A$4:$K$49,8,FALSE)</f>
        <v/>
      </c>
      <c r="K35" s="41" t="n">
        <v>38</v>
      </c>
      <c r="L35" s="3">
        <f>J35-K35</f>
        <v/>
      </c>
      <c r="M35" s="69">
        <f>ConsolidatedMHrequirementNov25!I35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t="14.5" customFormat="1" customHeight="1" s="34">
      <c r="A36" s="10" t="inlineStr">
        <is>
          <t>B813</t>
        </is>
      </c>
      <c r="B36" s="3">
        <f>ConsolidatedMHrequirementNov25!B36</f>
        <v/>
      </c>
      <c r="C36" s="3" t="n"/>
      <c r="D36" s="3" t="n"/>
      <c r="E36" s="3" t="n"/>
      <c r="F36" s="41">
        <f>VLOOKUP(A36,ConsolidatedMHrequirementNov25!$A$4:$K$49,4,FALSE)</f>
        <v/>
      </c>
      <c r="G36" s="3">
        <f>ConsolidatedMHrequirementNov25!F36</f>
        <v/>
      </c>
      <c r="H36" s="3">
        <f>ConsolidatedMHrequirementNov25!E36</f>
        <v/>
      </c>
      <c r="I36" s="3">
        <f>ConsolidatedMHrequirementNov25!G36</f>
        <v/>
      </c>
      <c r="J36" s="41">
        <f>VLOOKUP(A36,ConsolidatedMHrequirementNov25!$A$4:$K$49,8,FALSE)</f>
        <v/>
      </c>
      <c r="K36" s="41" t="n"/>
      <c r="L36" s="3">
        <f>J36-K36</f>
        <v/>
      </c>
      <c r="M36" s="69">
        <f>ConsolidatedMHrequirementNov25!I36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t="14.5" customFormat="1" customHeight="1" s="34">
      <c r="A37" s="10" t="inlineStr">
        <is>
          <t>B860</t>
        </is>
      </c>
      <c r="B37" s="3">
        <f>ConsolidatedMHrequirementNov25!B37</f>
        <v/>
      </c>
      <c r="C37" s="3" t="n"/>
      <c r="D37" s="3" t="n"/>
      <c r="E37" s="3" t="n"/>
      <c r="F37" s="41">
        <f>VLOOKUP(A37,ConsolidatedMHrequirementNov25!$A$4:$K$49,4,FALSE)</f>
        <v/>
      </c>
      <c r="G37" s="3">
        <f>ConsolidatedMHrequirementNov25!F37</f>
        <v/>
      </c>
      <c r="H37" s="3">
        <f>ConsolidatedMHrequirementNov25!E37</f>
        <v/>
      </c>
      <c r="I37" s="3">
        <f>ConsolidatedMHrequirementNov25!G37</f>
        <v/>
      </c>
      <c r="J37" s="41">
        <f>VLOOKUP(A37,ConsolidatedMHrequirementNov25!$A$4:$K$49,8,FALSE)</f>
        <v/>
      </c>
      <c r="K37" s="41" t="n">
        <v>31</v>
      </c>
      <c r="L37" s="3">
        <f>J37-K37</f>
        <v/>
      </c>
      <c r="M37" s="69">
        <f>ConsolidatedMHrequirementNov25!I37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t="14.5" customFormat="1" customHeight="1" s="34">
      <c r="A38" s="10" t="inlineStr">
        <is>
          <t>B861</t>
        </is>
      </c>
      <c r="B38" s="3">
        <f>ConsolidatedMHrequirementNov25!B38</f>
        <v/>
      </c>
      <c r="C38" s="3" t="n"/>
      <c r="D38" s="3" t="n"/>
      <c r="E38" s="3" t="n"/>
      <c r="F38" s="41">
        <f>VLOOKUP(A38,ConsolidatedMHrequirementNov25!$A$4:$K$49,4,FALSE)</f>
        <v/>
      </c>
      <c r="G38" s="3">
        <f>ConsolidatedMHrequirementNov25!F37</f>
        <v/>
      </c>
      <c r="H38" s="3">
        <f>ConsolidatedMHrequirementNov25!E37</f>
        <v/>
      </c>
      <c r="I38" s="3">
        <f>ConsolidatedMHrequirementNov25!G37</f>
        <v/>
      </c>
      <c r="J38" s="41">
        <f>VLOOKUP(A38,ConsolidatedMHrequirementNov25!$A$4:$K$49,8,FALSE)</f>
        <v/>
      </c>
      <c r="K38" s="41" t="n">
        <v>32</v>
      </c>
      <c r="L38" s="3">
        <f>J38-K38</f>
        <v/>
      </c>
      <c r="M38" s="69">
        <f>ConsolidatedMHrequirementNov25!I38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t="22" customFormat="1" customHeight="1" s="34">
      <c r="A39" s="10" t="inlineStr">
        <is>
          <t>B862</t>
        </is>
      </c>
      <c r="B39" s="3">
        <f>ConsolidatedMHrequirementNov25!B39</f>
        <v/>
      </c>
      <c r="C39" s="3" t="n"/>
      <c r="D39" s="3" t="n"/>
      <c r="E39" s="3" t="n"/>
      <c r="F39" s="41">
        <f>VLOOKUP(A39,ConsolidatedMHrequirementNov25!$A$4:$K$49,4,FALSE)</f>
        <v/>
      </c>
      <c r="G39" s="3">
        <f>ConsolidatedMHrequirementNov25!F38</f>
        <v/>
      </c>
      <c r="H39" s="3">
        <f>ConsolidatedMHrequirementNov25!E38</f>
        <v/>
      </c>
      <c r="I39" s="3">
        <f>ConsolidatedMHrequirementNov25!G38</f>
        <v/>
      </c>
      <c r="J39" s="41">
        <f>VLOOKUP(A39,ConsolidatedMHrequirementNov25!$A$4:$K$49,8,FALSE)</f>
        <v/>
      </c>
      <c r="K39" s="41" t="n"/>
      <c r="L39" s="3">
        <f>J39-K39</f>
        <v/>
      </c>
      <c r="M39" s="69">
        <f>ConsolidatedMHrequirementNov25!I39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t="19" customFormat="1" customHeight="1" s="34">
      <c r="A40" s="10" t="inlineStr">
        <is>
          <t>B865</t>
        </is>
      </c>
      <c r="B40" s="3">
        <f>ConsolidatedMHrequirementNov25!B40</f>
        <v/>
      </c>
      <c r="C40" s="3" t="n"/>
      <c r="D40" s="3" t="n"/>
      <c r="E40" s="3" t="n"/>
      <c r="F40" s="41">
        <f>VLOOKUP(A40,ConsolidatedMHrequirementNov25!$A$4:$K$49,4,FALSE)</f>
        <v/>
      </c>
      <c r="G40" s="3">
        <f>ConsolidatedMHrequirementNov25!F39</f>
        <v/>
      </c>
      <c r="H40" s="3">
        <f>ConsolidatedMHrequirementNov25!E39</f>
        <v/>
      </c>
      <c r="I40" s="3">
        <f>ConsolidatedMHrequirementNov25!G39</f>
        <v/>
      </c>
      <c r="J40" s="41">
        <f>VLOOKUP(A40,ConsolidatedMHrequirementNov25!$A$4:$K$49,8,FALSE)</f>
        <v/>
      </c>
      <c r="K40" s="44" t="n"/>
      <c r="L40" s="3">
        <f>J40-K40</f>
        <v/>
      </c>
      <c r="M40" s="69">
        <f>ConsolidatedMHrequirementNov25!I40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t="19" customFormat="1" customHeight="1" s="34">
      <c r="A41" s="10" t="inlineStr">
        <is>
          <t>B889</t>
        </is>
      </c>
      <c r="B41" s="3">
        <f>ConsolidatedMHrequirementNov25!B41</f>
        <v/>
      </c>
      <c r="C41" s="3" t="n"/>
      <c r="D41" s="3" t="n"/>
      <c r="E41" s="3" t="n"/>
      <c r="F41" s="41">
        <f>VLOOKUP(A41,ConsolidatedMHrequirementNov25!$A$4:$K$49,4,FALSE)</f>
        <v/>
      </c>
      <c r="G41" s="3" t="n"/>
      <c r="H41" s="3" t="n"/>
      <c r="I41" s="3" t="n"/>
      <c r="J41" s="41">
        <f>VLOOKUP(A41,ConsolidatedMHrequirementNov25!$A$4:$K$49,8,FALSE)</f>
        <v/>
      </c>
      <c r="K41" s="44" t="n"/>
      <c r="L41" s="3" t="n"/>
      <c r="M41" s="69">
        <f>ConsolidatedMHrequirementNov25!I41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t="19" customFormat="1" customHeight="1" s="34">
      <c r="A42" s="10" t="inlineStr">
        <is>
          <t>B895</t>
        </is>
      </c>
      <c r="B42" s="3">
        <f>ConsolidatedMHrequirementNov25!B42</f>
        <v/>
      </c>
      <c r="C42" s="3" t="n"/>
      <c r="D42" s="3" t="n"/>
      <c r="E42" s="3" t="n"/>
      <c r="F42" s="41">
        <f>VLOOKUP(A42,ConsolidatedMHrequirementNov25!$A$4:$K$49,4,FALSE)</f>
        <v/>
      </c>
      <c r="G42" s="3">
        <f>ConsolidatedMHrequirementNov25!F40</f>
        <v/>
      </c>
      <c r="H42" s="3">
        <f>ConsolidatedMHrequirementNov25!E40</f>
        <v/>
      </c>
      <c r="I42" s="3">
        <f>ConsolidatedMHrequirementNov25!G40</f>
        <v/>
      </c>
      <c r="J42" s="41">
        <f>VLOOKUP(A42,ConsolidatedMHrequirementNov25!$A$4:$K$49,8,FALSE)</f>
        <v/>
      </c>
      <c r="K42" s="44" t="n">
        <v>2</v>
      </c>
      <c r="L42" s="3">
        <f>J42-K42</f>
        <v/>
      </c>
      <c r="M42" s="69">
        <f>ConsolidatedMHrequirementNov25!I42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t="20" customFormat="1" customHeight="1" s="34">
      <c r="A43" s="10" t="inlineStr">
        <is>
          <t>B903</t>
        </is>
      </c>
      <c r="B43" s="3">
        <f>ConsolidatedMHrequirementNov25!B43</f>
        <v/>
      </c>
      <c r="C43" s="3" t="n"/>
      <c r="D43" s="3" t="n"/>
      <c r="E43" s="3" t="n"/>
      <c r="F43" s="41">
        <f>VLOOKUP(A43,ConsolidatedMHrequirementNov25!$A$4:$K$49,4,FALSE)</f>
        <v/>
      </c>
      <c r="G43" s="3">
        <f>ConsolidatedMHrequirementNov25!F41</f>
        <v/>
      </c>
      <c r="H43" s="3">
        <f>ConsolidatedMHrequirementNov25!E41</f>
        <v/>
      </c>
      <c r="I43" s="3">
        <f>ConsolidatedMHrequirementNov25!G41</f>
        <v/>
      </c>
      <c r="J43" s="41">
        <f>VLOOKUP(A43,ConsolidatedMHrequirementNov25!$A$4:$K$49,8,FALSE)</f>
        <v/>
      </c>
      <c r="K43" s="54" t="n"/>
      <c r="L43" s="3">
        <f>J43-K43</f>
        <v/>
      </c>
      <c r="M43" s="69">
        <f>ConsolidatedMHrequirementNov25!I43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customFormat="1" s="34">
      <c r="A44" s="10" t="inlineStr">
        <is>
          <t>B904</t>
        </is>
      </c>
      <c r="B44" s="3">
        <f>ConsolidatedMHrequirementNov25!B44</f>
        <v/>
      </c>
      <c r="C44" s="41" t="n"/>
      <c r="D44" s="41" t="n"/>
      <c r="E44" s="41" t="n"/>
      <c r="F44" s="41">
        <f>VLOOKUP(A44,ConsolidatedMHrequirementNov25!$A$4:$K$49,4,FALSE)</f>
        <v/>
      </c>
      <c r="G44" s="3">
        <f>ConsolidatedMHrequirementNov25!F42</f>
        <v/>
      </c>
      <c r="H44" s="3">
        <f>ConsolidatedMHrequirementNov25!E42</f>
        <v/>
      </c>
      <c r="I44" s="3">
        <f>ConsolidatedMHrequirementNov25!G42</f>
        <v/>
      </c>
      <c r="J44" s="41">
        <f>VLOOKUP(A44,ConsolidatedMHrequirementNov25!$A$4:$K$49,8,FALSE)</f>
        <v/>
      </c>
      <c r="K44" s="54" t="n"/>
      <c r="L44" s="3">
        <f>J44-K44</f>
        <v/>
      </c>
      <c r="M44" s="69">
        <f>ConsolidatedMHrequirementNov25!I44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customFormat="1" s="34">
      <c r="A45" s="10" t="inlineStr">
        <is>
          <t>B933</t>
        </is>
      </c>
      <c r="B45" s="3">
        <f>ConsolidatedMHrequirementNov25!B45</f>
        <v/>
      </c>
      <c r="C45" s="41" t="n"/>
      <c r="D45" s="41" t="n"/>
      <c r="E45" s="41" t="n"/>
      <c r="F45" s="41">
        <f>VLOOKUP(A45,ConsolidatedMHrequirementNov25!$A$4:$K$49,4,FALSE)</f>
        <v/>
      </c>
      <c r="G45" s="3">
        <f>ConsolidatedMHrequirementNov25!F43</f>
        <v/>
      </c>
      <c r="H45" s="3">
        <f>ConsolidatedMHrequirementNov25!E43</f>
        <v/>
      </c>
      <c r="I45" s="3">
        <f>ConsolidatedMHrequirementNov25!G43</f>
        <v/>
      </c>
      <c r="J45" s="41">
        <f>VLOOKUP(A45,ConsolidatedMHrequirementNov25!$A$4:$K$49,8,FALSE)</f>
        <v/>
      </c>
      <c r="K45" s="54" t="n">
        <v>30</v>
      </c>
      <c r="L45" s="3">
        <f>J45-K45</f>
        <v/>
      </c>
      <c r="M45" s="69">
        <f>ConsolidatedMHrequirementNov25!I45</f>
        <v/>
      </c>
      <c r="N45" s="69" t="n"/>
      <c r="O45" s="69" t="n"/>
      <c r="P45" s="69" t="n"/>
      <c r="Q45" s="69" t="n"/>
      <c r="R45" s="69" t="n"/>
      <c r="S45" s="69" t="n"/>
      <c r="T45" s="69" t="n"/>
    </row>
    <row r="46" customFormat="1" s="34">
      <c r="A46" s="10" t="inlineStr">
        <is>
          <t>B943</t>
        </is>
      </c>
      <c r="B46" s="3">
        <f>ConsolidatedMHrequirementNov25!B46</f>
        <v/>
      </c>
      <c r="C46" s="41" t="n"/>
      <c r="D46" s="41" t="n"/>
      <c r="E46" s="41" t="n"/>
      <c r="F46" s="41">
        <f>VLOOKUP(A46,ConsolidatedMHrequirementNov25!$A$4:$K$49,4,FALSE)</f>
        <v/>
      </c>
      <c r="G46" s="3">
        <f>ConsolidatedMHrequirementNov25!F44</f>
        <v/>
      </c>
      <c r="H46" s="3">
        <f>ConsolidatedMHrequirementNov25!E44</f>
        <v/>
      </c>
      <c r="I46" s="3">
        <f>ConsolidatedMHrequirementNov25!G44</f>
        <v/>
      </c>
      <c r="J46" s="41">
        <f>VLOOKUP(A46,ConsolidatedMHrequirementNov25!$A$4:$K$49,8,FALSE)</f>
        <v/>
      </c>
      <c r="K46" s="54" t="n"/>
      <c r="L46" s="3">
        <f>J46-K46</f>
        <v/>
      </c>
      <c r="M46" s="69">
        <f>ConsolidatedMHrequirementNov25!I46</f>
        <v/>
      </c>
      <c r="N46" s="69" t="n"/>
      <c r="O46" s="69" t="n"/>
      <c r="P46" s="69" t="n"/>
      <c r="Q46" s="69" t="n"/>
      <c r="R46" s="69" t="n"/>
      <c r="S46" s="69" t="n"/>
      <c r="T46" s="69" t="n"/>
    </row>
    <row r="47" customFormat="1" s="34">
      <c r="A47" s="10" t="inlineStr">
        <is>
          <t>B957</t>
        </is>
      </c>
      <c r="B47" s="3">
        <f>ConsolidatedMHrequirementNov25!B47</f>
        <v/>
      </c>
      <c r="C47" s="41" t="n"/>
      <c r="D47" s="41" t="n"/>
      <c r="E47" s="41" t="n"/>
      <c r="F47" s="41">
        <f>VLOOKUP(A47,ConsolidatedMHrequirementNov25!$A$4:$K$49,4,FALSE)</f>
        <v/>
      </c>
      <c r="G47" s="3">
        <f>ConsolidatedMHrequirementNov25!F45</f>
        <v/>
      </c>
      <c r="H47" s="3">
        <f>ConsolidatedMHrequirementNov25!E45</f>
        <v/>
      </c>
      <c r="I47" s="3">
        <f>ConsolidatedMHrequirementNov25!G45</f>
        <v/>
      </c>
      <c r="J47" s="41">
        <f>VLOOKUP(A47,ConsolidatedMHrequirementNov25!$A$4:$K$49,8,FALSE)</f>
        <v/>
      </c>
      <c r="K47" s="41" t="n">
        <v>32</v>
      </c>
      <c r="L47" s="3">
        <f>J47-K47</f>
        <v/>
      </c>
      <c r="M47" s="69">
        <f>ConsolidatedMHrequirementNov25!I47</f>
        <v/>
      </c>
      <c r="N47" s="69" t="n"/>
      <c r="O47" s="69" t="n"/>
      <c r="P47" s="69" t="n"/>
      <c r="Q47" s="69" t="n"/>
      <c r="R47" s="69" t="n"/>
      <c r="S47" s="69" t="n"/>
      <c r="T47" s="69" t="n"/>
    </row>
    <row r="48" customFormat="1" s="34">
      <c r="A48" s="10" t="inlineStr">
        <is>
          <t>C007</t>
        </is>
      </c>
      <c r="B48" s="3">
        <f>ConsolidatedMHrequirementNov25!B48</f>
        <v/>
      </c>
      <c r="C48" s="41" t="n"/>
      <c r="D48" s="41" t="n"/>
      <c r="E48" s="41" t="n"/>
      <c r="F48" s="41">
        <f>VLOOKUP(A48,ConsolidatedMHrequirementNov25!$A$4:$K$49,4,FALSE)</f>
        <v/>
      </c>
      <c r="G48" s="3">
        <f>ConsolidatedMHrequirementNov25!F46</f>
        <v/>
      </c>
      <c r="H48" s="3">
        <f>ConsolidatedMHrequirementNov25!E46</f>
        <v/>
      </c>
      <c r="I48" s="3">
        <f>ConsolidatedMHrequirementNov25!G46</f>
        <v/>
      </c>
      <c r="J48" s="41">
        <f>VLOOKUP(A48,ConsolidatedMHrequirementNov25!$A$4:$K$49,8,FALSE)</f>
        <v/>
      </c>
      <c r="K48" s="54" t="n">
        <v>0</v>
      </c>
      <c r="L48" s="3">
        <f>J48-K48</f>
        <v/>
      </c>
      <c r="M48" s="69">
        <f>ConsolidatedMHrequirementNov25!I48</f>
        <v/>
      </c>
      <c r="N48" s="69" t="n"/>
      <c r="O48" s="69" t="n"/>
      <c r="P48" s="69" t="n"/>
      <c r="Q48" s="69" t="n"/>
      <c r="R48" s="69" t="n"/>
      <c r="S48" s="69" t="n"/>
      <c r="T48" s="69" t="n"/>
    </row>
    <row r="49" customFormat="1" s="34">
      <c r="A49" s="10" t="inlineStr">
        <is>
          <t>C028</t>
        </is>
      </c>
      <c r="B49" s="3">
        <f>ConsolidatedMHrequirementNov25!B49</f>
        <v/>
      </c>
      <c r="C49" s="41" t="n"/>
      <c r="D49" s="41" t="n"/>
      <c r="E49" s="41" t="n"/>
      <c r="F49" s="41">
        <f>VLOOKUP(A49,ConsolidatedMHrequirementNov25!$A$4:$K$49,4,FALSE)</f>
        <v/>
      </c>
      <c r="G49" s="3" t="n"/>
      <c r="H49" s="3" t="n"/>
      <c r="I49" s="3" t="n"/>
      <c r="J49" s="41">
        <f>VLOOKUP(A49,ConsolidatedMHrequirementNov25!$A$4:$K$49,8,FALSE)</f>
        <v/>
      </c>
      <c r="K49" s="41" t="n">
        <v>96</v>
      </c>
      <c r="L49" s="3" t="n"/>
      <c r="M49" s="69">
        <f>ConsolidatedMHrequirementNov25!I49</f>
        <v/>
      </c>
      <c r="N49" s="69" t="n"/>
      <c r="O49" s="69" t="n"/>
      <c r="P49" s="69" t="n"/>
      <c r="Q49" s="69" t="n"/>
      <c r="R49" s="69" t="n"/>
      <c r="S49" s="69" t="n"/>
      <c r="T49" s="69" t="n"/>
    </row>
    <row r="50">
      <c r="A50" s="3" t="inlineStr">
        <is>
          <t>Leave</t>
        </is>
      </c>
      <c r="B50" s="3">
        <f>ConsolidatedMHrequirementNov25!B50</f>
        <v/>
      </c>
      <c r="C50" s="3" t="n"/>
      <c r="D50" s="3" t="n"/>
      <c r="E50" s="3" t="n"/>
      <c r="F50" s="3" t="n"/>
      <c r="G50" s="3">
        <f>ConsolidatedMHrequirementNov25!F47</f>
        <v/>
      </c>
      <c r="H50" s="3">
        <f>ConsolidatedMHrequirementNov25!E47</f>
        <v/>
      </c>
      <c r="I50" s="3">
        <f>ConsolidatedMHrequirementNov25!G47</f>
        <v/>
      </c>
      <c r="J50" s="41">
        <f>VLOOKUP(A50,ConsolidatedMHrequirementNov25!$A$4:$K$50,8,FALSE)</f>
        <v/>
      </c>
      <c r="K50" s="41" t="n">
        <v>52</v>
      </c>
      <c r="L50" s="3">
        <f>J50-K50</f>
        <v/>
      </c>
      <c r="M50" s="69">
        <f>ConsolidatedMHrequirementNov25!I50</f>
        <v/>
      </c>
      <c r="N50" s="69" t="n"/>
      <c r="O50" s="69" t="n"/>
      <c r="P50" s="69" t="n"/>
      <c r="Q50" s="69" t="n"/>
      <c r="R50" s="69" t="n"/>
      <c r="S50" s="69" t="n"/>
      <c r="T50" s="69" t="n"/>
    </row>
    <row r="51">
      <c r="A51" s="3" t="inlineStr">
        <is>
          <t>Total</t>
        </is>
      </c>
      <c r="B51" s="3" t="n"/>
      <c r="C51" s="3" t="n"/>
      <c r="D51" s="3" t="n"/>
      <c r="E51" s="3" t="n"/>
      <c r="F51" s="3" t="n"/>
      <c r="G51" s="3">
        <f>ConsolidatedMHrequirementNov25!F48</f>
        <v/>
      </c>
      <c r="H51" s="3">
        <f>ConsolidatedMHrequirementNov25!E48</f>
        <v/>
      </c>
      <c r="I51" s="3">
        <f>ConsolidatedMHrequirementNov25!G48</f>
        <v/>
      </c>
      <c r="J51" s="41">
        <f>VLOOKUP(A51,ConsolidatedMHrequirementNov25!$A$4:$K$51,8,FALSE)</f>
        <v/>
      </c>
      <c r="K51" s="41">
        <f>SUM(K4:K50)</f>
        <v/>
      </c>
      <c r="L51" s="3">
        <f>J51-K51</f>
        <v/>
      </c>
      <c r="M51" s="69">
        <f>ConsolidatedMHrequirementNov25!I51</f>
        <v/>
      </c>
    </row>
    <row r="52">
      <c r="A52" s="55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55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24" t="inlineStr">
        <is>
          <t xml:space="preserve">Guidelines : 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</row>
    <row r="55">
      <c r="A55" s="26" t="inlineStr">
        <is>
          <t>1. Inspection Visit including review and endorsement of final documents: At  actual</t>
        </is>
      </c>
      <c r="B55" s="26" t="n"/>
    </row>
    <row r="56">
      <c r="A56" s="26" t="inlineStr">
        <is>
          <t xml:space="preserve">2. Expediting and preparation of expediting report: Average 2 hours /month /order ( No Octarate man hours for coordination ) </t>
        </is>
      </c>
    </row>
    <row r="57">
      <c r="A57" s="26" t="inlineStr">
        <is>
          <t xml:space="preserve">3. Expediting visit/ Attending meeting with project/.Client: At  actual </t>
        </is>
      </c>
    </row>
    <row r="58">
      <c r="A58" s="26" t="inlineStr">
        <is>
          <t xml:space="preserve">4. Review of ITP  for Bulk items  under package order: Average 1 hour/ ITP ( No man hours for standard EIL  ITP being used by the supplier/Contractor) </t>
        </is>
      </c>
    </row>
    <row r="59">
      <c r="A59" s="26" t="inlineStr">
        <is>
          <t xml:space="preserve">5. Review of ITP for Equipment (Mechanical and Electrical/DCS etc): Average 2 hours/order </t>
        </is>
      </c>
    </row>
    <row r="60">
      <c r="A60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1">
      <c r="A61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2">
      <c r="A62" s="26" t="inlineStr">
        <is>
          <t xml:space="preserve">8. Order Closing report: Average 2 hours/Order  </t>
        </is>
      </c>
    </row>
  </sheetData>
  <autoFilter ref="A3:L51"/>
  <pageMargins left="0.7" right="0.7" top="0.75" bottom="0.75" header="0.3" footer="0.3"/>
  <pageSetup orientation="landscape" scale="71"/>
</worksheet>
</file>

<file path=xl/worksheets/sheet19.xml><?xml version="1.0" encoding="utf-8"?>
<worksheet xmlns="http://schemas.openxmlformats.org/spreadsheetml/2006/main">
  <sheetPr>
    <tabColor theme="0"/>
    <outlinePr summaryBelow="1" summaryRight="1"/>
    <pageSetUpPr/>
  </sheetPr>
  <dimension ref="A1:S67"/>
  <sheetViews>
    <sheetView topLeftCell="B13" zoomScale="85" zoomScaleNormal="85" workbookViewId="0">
      <selection activeCell="S15" sqref="S15"/>
    </sheetView>
  </sheetViews>
  <sheetFormatPr baseColWidth="8" defaultRowHeight="14.5"/>
  <cols>
    <col width="12.453125" customWidth="1" style="4" min="1" max="1"/>
    <col width="10.54296875" customWidth="1" style="125" min="2" max="4"/>
    <col width="17.08984375" customWidth="1" style="125" min="11" max="11"/>
    <col width="15" customWidth="1" style="125" min="15" max="17"/>
  </cols>
  <sheetData>
    <row r="1">
      <c r="A1" s="118" t="inlineStr">
        <is>
          <t>Consolidated man hour requirement  for Dec'25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2" t="n"/>
      <c r="L1" s="94" t="n"/>
    </row>
    <row r="2">
      <c r="A2" s="52">
        <f>(22*8*5)</f>
        <v/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2" t="n"/>
      <c r="L2" s="1" t="n"/>
      <c r="M2" s="111" t="n"/>
      <c r="N2" s="111" t="n"/>
      <c r="O2" s="112" t="n"/>
    </row>
    <row r="3" ht="41.25" customHeight="1" s="125">
      <c r="A3" s="3" t="inlineStr">
        <is>
          <t>Job No</t>
        </is>
      </c>
      <c r="B3" s="3" t="inlineStr">
        <is>
          <t>No. of Running orders</t>
        </is>
      </c>
      <c r="C3" s="3" t="inlineStr">
        <is>
          <t>Orders for FD f/up</t>
        </is>
      </c>
      <c r="D3" s="3" t="inlineStr">
        <is>
          <t>OCS done</t>
        </is>
      </c>
      <c r="E3" s="3" t="inlineStr">
        <is>
          <t>Exp.</t>
        </is>
      </c>
      <c r="F3" s="3" t="inlineStr">
        <is>
          <t>Inspn</t>
        </is>
      </c>
      <c r="G3" s="9" t="inlineStr">
        <is>
          <t>Others</t>
        </is>
      </c>
      <c r="H3" s="3" t="inlineStr">
        <is>
          <t>Total</t>
        </is>
      </c>
      <c r="I3" s="1" t="inlineStr">
        <is>
          <t>*Others/ Remarks</t>
        </is>
      </c>
      <c r="J3" s="111" t="n"/>
      <c r="K3" s="112" t="n"/>
      <c r="L3" s="110" t="inlineStr">
        <is>
          <t>Insp/ Project Coordinators</t>
        </is>
      </c>
      <c r="M3" s="111" t="n"/>
      <c r="N3" s="111" t="n"/>
      <c r="O3" s="112" t="n"/>
      <c r="P3" s="2" t="inlineStr">
        <is>
          <t xml:space="preserve">MH available as on </t>
        </is>
      </c>
      <c r="Q3" s="5" t="inlineStr">
        <is>
          <t>MH to be released for Dec'25</t>
        </is>
      </c>
      <c r="R3" t="inlineStr">
        <is>
          <t>Allotted</t>
        </is>
      </c>
      <c r="S3" t="inlineStr">
        <is>
          <t>8518 reqd</t>
        </is>
      </c>
    </row>
    <row r="4" ht="51.5" customHeight="1" s="125">
      <c r="A4" s="3" t="n">
        <v>4994</v>
      </c>
      <c r="B4" s="3" t="n">
        <v>0</v>
      </c>
      <c r="C4" s="3" t="n"/>
      <c r="D4" s="3" t="n"/>
      <c r="E4" s="3" t="n"/>
      <c r="F4" s="3" t="n"/>
      <c r="G4" s="9">
        <f>8*4</f>
        <v/>
      </c>
      <c r="H4" s="3">
        <f>SUM(E4:G4)</f>
        <v/>
      </c>
      <c r="I4" s="62" t="inlineStr">
        <is>
          <t>Enl: ;Reval:RSA Turbotech,Hitachi;Enh: (32h sought on 29/12 to RS, including Nidec)</t>
        </is>
      </c>
      <c r="J4" s="63" t="n"/>
      <c r="K4" s="64" t="n"/>
      <c r="L4" s="110" t="inlineStr">
        <is>
          <t>Rajesh Sinha</t>
        </is>
      </c>
      <c r="M4" s="111" t="n"/>
      <c r="N4" s="111" t="n"/>
      <c r="O4" s="112" t="n"/>
      <c r="P4" s="3" t="n">
        <v>0</v>
      </c>
      <c r="Q4" s="3" t="n">
        <v>32</v>
      </c>
      <c r="R4" t="n">
        <v>0</v>
      </c>
      <c r="S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11/7[4326];32mh rel on 1/1[4550]</t>
        </is>
      </c>
    </row>
    <row r="5" ht="46" customHeight="1" s="125">
      <c r="A5" s="3" t="n">
        <v>6979</v>
      </c>
      <c r="B5" s="3" t="n"/>
      <c r="C5" s="3" t="n"/>
      <c r="D5" s="3" t="n"/>
      <c r="E5" s="3" t="n"/>
      <c r="F5" s="3" t="n"/>
      <c r="G5" s="9" t="n"/>
      <c r="H5" s="3" t="n">
        <v>0</v>
      </c>
      <c r="I5" s="56" t="n"/>
      <c r="J5" s="56" t="n"/>
      <c r="K5" s="56" t="n"/>
      <c r="L5" s="110" t="n"/>
      <c r="M5" s="111" t="n"/>
      <c r="N5" s="111" t="n"/>
      <c r="O5" s="112" t="n"/>
      <c r="P5" s="3" t="n"/>
      <c r="Q5" s="3" t="n"/>
      <c r="S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/>
      <c r="E6" s="3" t="n"/>
      <c r="F6" s="3" t="n">
        <v>0</v>
      </c>
      <c r="G6" s="9">
        <f>8*0</f>
        <v/>
      </c>
      <c r="H6" s="3">
        <f>SUM(E6:G6)</f>
        <v/>
      </c>
      <c r="I6" s="62" t="n"/>
      <c r="J6" s="63" t="n"/>
      <c r="K6" s="64" t="n"/>
      <c r="L6" s="110" t="inlineStr">
        <is>
          <t>Sanjeev Kumar/ Yatendra Agrawal - EIB Renovation</t>
        </is>
      </c>
      <c r="M6" s="111" t="n"/>
      <c r="N6" s="111" t="n"/>
      <c r="O6" s="112" t="n"/>
      <c r="P6" s="3" t="n"/>
      <c r="Q6" s="3" t="n"/>
      <c r="R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/>
      <c r="D7" s="3" t="n"/>
      <c r="E7" s="3" t="n">
        <v>0</v>
      </c>
      <c r="F7" s="3" t="n">
        <v>0</v>
      </c>
      <c r="G7" s="9" t="n"/>
      <c r="H7" s="3" t="n">
        <v>200</v>
      </c>
      <c r="I7" s="62" t="inlineStr">
        <is>
          <t>Admin works,Insp Guidelines/Typ Test review/ITP revision(Mech &amp; E&amp;I ITPS)/KM,NTPC Green - Discussions;HAL BD,other miscellaneous works incl.  Hosp Nomination;Capex Requirements for Off. &amp; GH, Vehicle Hiring Contract;Trgs.Aarohan(10,11/12);Dept. mtgs etc.</t>
        </is>
      </c>
      <c r="J7" s="63" t="n"/>
      <c r="K7" s="64" t="n"/>
      <c r="L7" s="110" t="inlineStr">
        <is>
          <t xml:space="preserve"> Tech Develop &amp; OH</t>
        </is>
      </c>
      <c r="M7" s="111" t="n"/>
      <c r="N7" s="111" t="n"/>
      <c r="O7" s="112" t="n"/>
      <c r="P7" s="3" t="n">
        <v>300</v>
      </c>
      <c r="Q7" s="3" t="n"/>
      <c r="S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</t>
        </is>
      </c>
    </row>
    <row r="8" ht="123" customHeight="1" s="125">
      <c r="A8" s="3" t="n">
        <v>8590</v>
      </c>
      <c r="B8" s="3" t="n"/>
      <c r="C8" s="3" t="n"/>
      <c r="D8" s="3" t="n"/>
      <c r="E8" s="3" t="n"/>
      <c r="F8" s="3" t="n">
        <v>0</v>
      </c>
      <c r="G8" s="9" t="n"/>
      <c r="H8" s="3">
        <f>SUM(E8:G8)</f>
        <v/>
      </c>
      <c r="I8" s="62" t="n"/>
      <c r="J8" s="63" t="n"/>
      <c r="K8" s="64" t="n"/>
      <c r="L8" s="110" t="n"/>
      <c r="M8" s="111" t="n"/>
      <c r="N8" s="111" t="n"/>
      <c r="O8" s="112" t="n"/>
      <c r="P8" s="3" t="n"/>
      <c r="Q8" s="3" t="n"/>
    </row>
    <row r="9" ht="41.25" customHeight="1" s="125">
      <c r="A9" s="3" t="inlineStr">
        <is>
          <t>B016</t>
        </is>
      </c>
      <c r="B9" s="3" t="n">
        <v>0</v>
      </c>
      <c r="C9" s="3" t="n"/>
      <c r="D9" s="3" t="n"/>
      <c r="E9" s="3" t="n">
        <v>0</v>
      </c>
      <c r="F9" s="3" t="n"/>
      <c r="G9" s="9" t="n">
        <v>0</v>
      </c>
      <c r="H9" s="3" t="n">
        <v>0</v>
      </c>
      <c r="I9" s="57" t="inlineStr">
        <is>
          <t xml:space="preserve"> </t>
        </is>
      </c>
      <c r="J9" s="58" t="inlineStr">
        <is>
          <t xml:space="preserve"> </t>
        </is>
      </c>
      <c r="K9" s="59" t="inlineStr">
        <is>
          <t xml:space="preserve"> </t>
        </is>
      </c>
      <c r="L9" s="110" t="inlineStr">
        <is>
          <t>Uday Pratap Singh/Pankaj Saxena/Alok Singh</t>
        </is>
      </c>
      <c r="M9" s="111" t="n"/>
      <c r="N9" s="111" t="n"/>
      <c r="O9" s="112" t="n"/>
      <c r="P9" s="2" t="n"/>
      <c r="Q9" s="5" t="n"/>
      <c r="S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0</v>
      </c>
      <c r="C10" s="3" t="n"/>
      <c r="D10" s="3" t="n"/>
      <c r="E10" s="3">
        <f>B10*8</f>
        <v/>
      </c>
      <c r="F10" s="3" t="n">
        <v>0</v>
      </c>
      <c r="G10" s="12" t="n">
        <v>0</v>
      </c>
      <c r="H10" s="3">
        <f>E10+F10+G10</f>
        <v/>
      </c>
      <c r="I10" s="126" t="inlineStr">
        <is>
          <t>Expediting - Greensol;</t>
        </is>
      </c>
      <c r="J10" s="111" t="n"/>
      <c r="K10" s="112" t="n"/>
      <c r="L10" s="110" t="inlineStr">
        <is>
          <t>Saeed Akhtar/ D Jana</t>
        </is>
      </c>
      <c r="M10" s="111" t="n"/>
      <c r="N10" s="111" t="n"/>
      <c r="O10" s="112" t="n"/>
      <c r="P10" s="3" t="n">
        <v>0</v>
      </c>
      <c r="Q10" s="3">
        <f>H10-P10</f>
        <v/>
      </c>
      <c r="R10" t="inlineStr">
        <is>
          <t xml:space="preserve"> </t>
        </is>
      </c>
      <c r="S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 t="n"/>
      <c r="D11" s="3" t="n"/>
      <c r="E11" s="3">
        <f>2*B11</f>
        <v/>
      </c>
      <c r="F11" s="3" t="n">
        <v>0</v>
      </c>
      <c r="G11" s="9" t="n">
        <v>0</v>
      </c>
      <c r="H11" s="3">
        <f>E11+F11+G11</f>
        <v/>
      </c>
      <c r="I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J11" s="111" t="n"/>
      <c r="K11" s="112" t="n"/>
      <c r="L11" s="110" t="inlineStr">
        <is>
          <t>Himanghsu Pal/Sanjeev Kumar/Aasheesh Handa</t>
        </is>
      </c>
      <c r="M11" s="111" t="n"/>
      <c r="N11" s="111" t="n"/>
      <c r="O11" s="112" t="n"/>
      <c r="P11" s="3" t="n">
        <v>0</v>
      </c>
      <c r="Q11" s="3">
        <f>H11-P11</f>
        <v/>
      </c>
      <c r="S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0</v>
      </c>
      <c r="C12" s="3" t="n"/>
      <c r="D12" s="3" t="n"/>
      <c r="E12" s="3" t="n">
        <v>0</v>
      </c>
      <c r="F12" s="3" t="n"/>
      <c r="G12" s="9" t="n"/>
      <c r="H12" s="3" t="n">
        <v>0</v>
      </c>
      <c r="I12" s="56" t="inlineStr">
        <is>
          <t xml:space="preserve"> </t>
        </is>
      </c>
      <c r="J12" s="60" t="n"/>
      <c r="K12" s="61" t="n"/>
      <c r="L12" s="110" t="inlineStr">
        <is>
          <t>Patra/Sanjay Dhuria</t>
        </is>
      </c>
      <c r="M12" s="111" t="n"/>
      <c r="N12" s="111" t="n"/>
      <c r="O12" s="112" t="n"/>
      <c r="P12" s="3" t="n"/>
      <c r="Q12" s="3" t="n"/>
      <c r="S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n"/>
      <c r="D13" s="3" t="n"/>
      <c r="E13" s="3" t="inlineStr">
        <is>
          <t xml:space="preserve"> </t>
        </is>
      </c>
      <c r="F13" s="3" t="inlineStr">
        <is>
          <t xml:space="preserve"> </t>
        </is>
      </c>
      <c r="G13" s="9" t="n"/>
      <c r="H13" s="3">
        <f>8*22</f>
        <v/>
      </c>
      <c r="I13" s="62" t="inlineStr">
        <is>
          <t>Insp: Triveni Turbine- 11-16/12(6);C&amp;S-Sw.Bds-4,5,20,29/12(4d),KSBMIL-Control Valves-5,16,17/12(3d);VTV/Swims-29,30/12(2d);Microsys-29/12;Others- (5d),Doc Rev: Triveni Turbine 22,30/12;C&amp;S Sw Bd -19/12;LVS doc.rev-22/12;QAPs:SAS,Power T/f,Valves,Rotameter,Power Cables;Expediting: C&amp;S-1,11/12;</t>
        </is>
      </c>
      <c r="J13" s="63" t="n"/>
      <c r="K13" s="64" t="n"/>
      <c r="L13" s="110" t="inlineStr">
        <is>
          <t>G Suresh/Mr Dipak Panchal /Ms Gauri Sharma/ Mr Sunil Saurabh</t>
        </is>
      </c>
      <c r="M13" s="111" t="n"/>
      <c r="N13" s="111" t="n"/>
      <c r="O13" s="112" t="n"/>
      <c r="P13" s="3" t="n">
        <v>0</v>
      </c>
      <c r="Q13" s="3" t="n">
        <v>56</v>
      </c>
      <c r="S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24/4; 175h rel on 16/1[7359]</t>
        </is>
      </c>
    </row>
    <row r="14" ht="83.5" customHeight="1" s="125">
      <c r="A14" s="10" t="inlineStr">
        <is>
          <t>B229</t>
        </is>
      </c>
      <c r="B14" s="3" t="n">
        <v>0</v>
      </c>
      <c r="C14" s="3" t="n"/>
      <c r="D14" s="3" t="n"/>
      <c r="E14" s="3">
        <f>2*B14</f>
        <v/>
      </c>
      <c r="F14" s="3" t="n"/>
      <c r="G14" s="9" t="n">
        <v>0</v>
      </c>
      <c r="H14" s="3">
        <f>SUM(E14:G14)</f>
        <v/>
      </c>
      <c r="I14" s="62" t="n"/>
      <c r="J14" s="63" t="n"/>
      <c r="K14" s="64" t="n"/>
      <c r="L14" s="110" t="inlineStr">
        <is>
          <t>Muthu/Patra/JPS Kalra/DK Kesri</t>
        </is>
      </c>
      <c r="M14" s="111" t="n"/>
      <c r="N14" s="111" t="n"/>
      <c r="O14" s="112" t="n"/>
      <c r="P14" s="3" t="n"/>
      <c r="Q14" s="3" t="n"/>
      <c r="S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9</v>
      </c>
      <c r="C15" s="3" t="n">
        <v>4</v>
      </c>
      <c r="D15" t="n">
        <v>0</v>
      </c>
      <c r="E15" s="3">
        <f>2*B15</f>
        <v/>
      </c>
      <c r="F15" s="3">
        <f>8*0</f>
        <v/>
      </c>
      <c r="G15" s="9">
        <f>8*0</f>
        <v/>
      </c>
      <c r="H15" s="3">
        <f>SUM(E15:G15)</f>
        <v/>
      </c>
      <c r="I15" s="62" t="inlineStr">
        <is>
          <t xml:space="preserve">9 running orders+ 4Orders FD sub expediting; Critical Item Insp - </t>
        </is>
      </c>
      <c r="J15" s="63" t="n"/>
      <c r="K15" s="64" t="n"/>
      <c r="L15" s="110" t="inlineStr">
        <is>
          <t>Muthu/VA/Rajesh Bhatla/Arun Singh Arya/Sanjay Chaudhary</t>
        </is>
      </c>
      <c r="M15" s="111" t="n"/>
      <c r="N15" s="111" t="n"/>
      <c r="O15" s="112" t="n"/>
      <c r="P15" s="3" t="n">
        <v>0</v>
      </c>
      <c r="Q15" s="3" t="n"/>
      <c r="S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19/3;[1422];16mh rel on 17/4 [1438];For Apr+May-38mh rel on 19/6 (against 104+118=222h sought)[1476];Another 100mh rel on 20/6[1576];80mh rel on 11/7[1656];24h rel on 19/1[1808]</t>
        </is>
      </c>
    </row>
    <row r="16" ht="51.5" customHeight="1" s="125">
      <c r="A16" s="10" t="inlineStr">
        <is>
          <t>B285</t>
        </is>
      </c>
      <c r="B16" s="3" t="n"/>
      <c r="C16" s="3" t="n"/>
      <c r="E16" s="3" t="n"/>
      <c r="F16" s="3" t="n"/>
      <c r="G16" s="9" t="n"/>
      <c r="H16" s="3" t="n">
        <v>0</v>
      </c>
      <c r="I16" s="56" t="inlineStr">
        <is>
          <t xml:space="preserve"> </t>
        </is>
      </c>
      <c r="J16" s="60" t="n"/>
      <c r="K16" s="61" t="n"/>
      <c r="L16" s="110" t="inlineStr">
        <is>
          <t>Sanjeev Kumar/Vikalp Paliwal</t>
        </is>
      </c>
      <c r="M16" s="111" t="n"/>
      <c r="N16" s="111" t="n"/>
      <c r="O16" s="112" t="n"/>
      <c r="P16" s="3" t="n"/>
      <c r="Q16" s="3" t="n"/>
    </row>
    <row r="17" ht="112" customHeight="1" s="125">
      <c r="A17" s="10" t="inlineStr">
        <is>
          <t>B297</t>
        </is>
      </c>
      <c r="B17" s="3" t="n">
        <v>0</v>
      </c>
      <c r="C17" s="3" t="n">
        <v>1</v>
      </c>
      <c r="D17" s="95" t="n">
        <v>1</v>
      </c>
      <c r="E17" s="3">
        <f>2*D17</f>
        <v/>
      </c>
      <c r="F17" s="3">
        <f>8*0</f>
        <v/>
      </c>
      <c r="G17" s="9">
        <f>8*0</f>
        <v/>
      </c>
      <c r="H17" s="3">
        <f>SUM(E17:G17)</f>
        <v/>
      </c>
      <c r="I17" s="62" t="inlineStr">
        <is>
          <t xml:space="preserve">Exp- 1OCS+ 1-FD sub exp </t>
        </is>
      </c>
      <c r="J17" s="63" t="n"/>
      <c r="K17" s="64" t="n"/>
      <c r="L17" s="110" t="inlineStr">
        <is>
          <t>Muthu/NS Vasudev/Manish Tiwari - GAIL Pata</t>
        </is>
      </c>
      <c r="M17" s="111" t="n"/>
      <c r="N17" s="111" t="n"/>
      <c r="O17" s="112" t="n"/>
      <c r="P17" s="3" t="n">
        <v>10</v>
      </c>
      <c r="Q17" s="3" t="n"/>
      <c r="S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2</v>
      </c>
      <c r="C18" s="3" t="n">
        <v>1</v>
      </c>
      <c r="E18" s="3">
        <f>2*B18</f>
        <v/>
      </c>
      <c r="F18" s="3">
        <f>8*6.25</f>
        <v/>
      </c>
      <c r="G18" s="9">
        <f>8*0</f>
        <v/>
      </c>
      <c r="H18" s="3">
        <f>SUM(E18:G18)</f>
        <v/>
      </c>
      <c r="I18" s="62" t="inlineStr">
        <is>
          <t>3 Running orders ;Doc rev: -KPCL/Powrica-8/12;Shirdi Sai Elec -8/12;B&amp;R/Plantech-16/12;YIL-103-QAP appl-3/12; Inspn: KPCL/Powerica-17-19/12;</t>
        </is>
      </c>
      <c r="J18" s="63" t="n"/>
      <c r="K18" s="64" t="n"/>
      <c r="L18" s="110" t="inlineStr">
        <is>
          <t>Muthu/Hemant Gadasia/D Jana(302-1)/Vinod Kumar/Abhishek Rai/Balbir Singh (01-P/L &amp; 02- COT) - pump order - 02; FOA also to incl. Unit no for correlation</t>
        </is>
      </c>
      <c r="M18" s="111" t="n"/>
      <c r="N18" s="111" t="n"/>
      <c r="O18" s="112" t="n"/>
      <c r="P18" s="3" t="n"/>
      <c r="Q18" s="3" t="n"/>
      <c r="S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4</v>
      </c>
      <c r="C19" s="3" t="n">
        <v>2</v>
      </c>
      <c r="D19" t="n">
        <v>2</v>
      </c>
      <c r="E19" s="3">
        <f>2*B19+2*D19</f>
        <v/>
      </c>
      <c r="F19" s="3" t="n">
        <v>0</v>
      </c>
      <c r="G19" s="9" t="n">
        <v>0</v>
      </c>
      <c r="H19" s="3">
        <f>SUM(E19:G19)</f>
        <v/>
      </c>
      <c r="I19" s="62" t="inlineStr">
        <is>
          <t>4R orders+2ord FD exp+2 OCS</t>
        </is>
      </c>
      <c r="J19" s="62" t="n"/>
      <c r="K19" s="62" t="n"/>
      <c r="L19" s="110" t="inlineStr">
        <is>
          <t>Sanjeev Kumar/Lavish/HarshVardhan</t>
        </is>
      </c>
      <c r="M19" s="111" t="n"/>
      <c r="N19" s="111" t="n"/>
      <c r="O19" s="112" t="n"/>
      <c r="P19" s="3" t="n">
        <v>1</v>
      </c>
      <c r="Q19" s="3" t="n"/>
      <c r="S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</t>
        </is>
      </c>
    </row>
    <row r="20" ht="83.5" customHeight="1" s="125">
      <c r="A20" s="3" t="inlineStr">
        <is>
          <t>B359</t>
        </is>
      </c>
      <c r="B20" s="3" t="n"/>
      <c r="C20" s="3" t="n"/>
      <c r="E20" s="3" t="n"/>
      <c r="F20" s="3" t="n">
        <v>0</v>
      </c>
      <c r="G20" s="9" t="n">
        <v>0</v>
      </c>
      <c r="H20" s="3">
        <f>SUM(E20:G20)</f>
        <v/>
      </c>
      <c r="I20" s="62" t="n"/>
      <c r="J20" s="62" t="n"/>
      <c r="K20" s="62" t="n"/>
      <c r="L20" s="110" t="inlineStr">
        <is>
          <t>G Suresh/Sumanta Mondal/Abhishek/Sarvesh Kumar</t>
        </is>
      </c>
      <c r="M20" s="111" t="n"/>
      <c r="N20" s="111" t="n"/>
      <c r="O20" s="112" t="n"/>
      <c r="P20" s="3" t="n"/>
      <c r="Q20" s="3" t="n"/>
      <c r="S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t="n">
        <v>10</v>
      </c>
      <c r="C21" t="n">
        <v>11</v>
      </c>
      <c r="D21" t="n">
        <v>2</v>
      </c>
      <c r="E21" s="3">
        <f>2*(B21+D21)</f>
        <v/>
      </c>
      <c r="F21" s="3">
        <f>8*0</f>
        <v/>
      </c>
      <c r="G21" s="9">
        <f>8*8</f>
        <v/>
      </c>
      <c r="H21" s="3">
        <f>SUM(E21:G21)</f>
        <v/>
      </c>
      <c r="I21" s="62" t="inlineStr">
        <is>
          <t>Expediting : 10R ord +11FDsub exp+2 OCS;Inspection: Belloseal(PO874)-16/12; YIL(639)-ESD 15-20/12; Kequip- Lab Insts Tender - QAP Appls(1d);Belloseal doc rev.(1d)</t>
        </is>
      </c>
      <c r="J21" s="62" t="n"/>
      <c r="K21" s="62" t="n"/>
      <c r="L21" s="110" t="inlineStr">
        <is>
          <t>Muthu/CS Prasad/Ajay Gupta/Rajeev Kr Khandelwal/Prakash Jagarwal/Deepak Dinkar -GAIL Usar</t>
        </is>
      </c>
      <c r="M21" s="111" t="n"/>
      <c r="N21" s="111" t="n"/>
      <c r="O21" s="112" t="n"/>
      <c r="P21" s="3" t="n">
        <v>0</v>
      </c>
      <c r="Q21" s="3" t="n"/>
      <c r="S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16/6[4328];88h rel on 1/1/26[5194]</t>
        </is>
      </c>
    </row>
    <row r="22" ht="118" customHeight="1" s="125">
      <c r="A22" s="10" t="inlineStr">
        <is>
          <t>B398</t>
        </is>
      </c>
      <c r="E22" s="3" t="n"/>
      <c r="F22" s="3" t="n"/>
      <c r="G22" s="9">
        <f>8*0.5</f>
        <v/>
      </c>
      <c r="H22" s="3">
        <f>SUM(E22:G22)</f>
        <v/>
      </c>
      <c r="I22" s="62" t="inlineStr">
        <is>
          <t>Likita/Kristron Controls -CP-TRU/CPPSM QAPs -15/12</t>
        </is>
      </c>
      <c r="J22" s="62" t="n"/>
      <c r="K22" s="62" t="n"/>
      <c r="L22" s="110" t="n"/>
      <c r="M22" s="111" t="n"/>
      <c r="N22" s="111" t="n"/>
      <c r="O22" s="112" t="n"/>
      <c r="P22" s="3" t="n"/>
      <c r="Q22" s="3" t="n"/>
    </row>
    <row r="23" ht="83.5" customHeight="1" s="125">
      <c r="A23" s="10" t="inlineStr">
        <is>
          <t>B414</t>
        </is>
      </c>
      <c r="B23" t="n">
        <v>0</v>
      </c>
      <c r="C23" t="n">
        <v>4</v>
      </c>
      <c r="E23" s="3">
        <f>2*B23+1*0</f>
        <v/>
      </c>
      <c r="F23" s="3">
        <f>8*0</f>
        <v/>
      </c>
      <c r="G23" s="9">
        <f>8*0</f>
        <v/>
      </c>
      <c r="H23" s="3">
        <f>SUM(E23:G23)</f>
        <v/>
      </c>
      <c r="I23" s="62" t="inlineStr">
        <is>
          <t xml:space="preserve">4 orders FD expediting </t>
        </is>
      </c>
      <c r="J23" s="62" t="n"/>
      <c r="K23" s="62" t="n"/>
      <c r="L23" s="110" t="inlineStr">
        <is>
          <t>Sanjeev/ Shnaoli Nath</t>
        </is>
      </c>
      <c r="M23" s="111" t="n"/>
      <c r="N23" s="111" t="n"/>
      <c r="O23" s="112" t="n"/>
      <c r="P23" s="3" t="n"/>
      <c r="Q23" s="3" t="n"/>
      <c r="S23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4" ht="83.5" customHeight="1" s="125">
      <c r="A24" s="10" t="inlineStr">
        <is>
          <t>B436</t>
        </is>
      </c>
      <c r="E24" s="3" t="n">
        <v>2</v>
      </c>
      <c r="F24" s="3" t="n">
        <v>0</v>
      </c>
      <c r="G24" s="9" t="n">
        <v>0</v>
      </c>
      <c r="H24" s="3" t="n">
        <v>0</v>
      </c>
      <c r="I24" s="62" t="inlineStr">
        <is>
          <t xml:space="preserve">SCADA order on ABB </t>
        </is>
      </c>
      <c r="J24" s="62" t="n"/>
      <c r="K24" s="62" t="n"/>
      <c r="L24" s="110" t="inlineStr">
        <is>
          <t>T Ravi/Sangram Mishra/NS Vasudev</t>
        </is>
      </c>
      <c r="M24" s="111" t="n"/>
      <c r="N24" s="111" t="n"/>
      <c r="O24" s="112" t="n"/>
      <c r="P24" s="3" t="n"/>
      <c r="Q24" s="3" t="n"/>
      <c r="R24" t="inlineStr">
        <is>
          <t>10h rel on 22/5;26h rel on 12/10[38]</t>
        </is>
      </c>
    </row>
    <row r="25" ht="121.5" customHeight="1" s="125">
      <c r="A25" s="10" t="inlineStr">
        <is>
          <t>B440</t>
        </is>
      </c>
      <c r="B25" t="n">
        <v>10</v>
      </c>
      <c r="C25" t="n">
        <v>1</v>
      </c>
      <c r="D25" t="n">
        <v>1</v>
      </c>
      <c r="E25" s="3">
        <f>2*(B25 +D25)</f>
        <v/>
      </c>
      <c r="F25" s="3">
        <f>8*0.5</f>
        <v/>
      </c>
      <c r="G25" s="9">
        <f>8+4</f>
        <v/>
      </c>
      <c r="H25" s="3">
        <f>SUM(E25:G25)</f>
        <v/>
      </c>
      <c r="I25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Clarifications-8/7(0.5d); Oct: 12 R ord+2OCS; Nov: 10R+2ord FD exp+excl. exp. visit to BDK +PO267-rev &amp; End. of TPI repts; Dec: 10 R ord+1OCS+PO61-TPI Doc rev/IRN endors</t>
        </is>
      </c>
      <c r="J25" s="62" t="n"/>
      <c r="K25" s="62" t="n"/>
      <c r="L25" s="110" t="inlineStr">
        <is>
          <t>Mittal/Ayush Mathur/Shivaji/VVR Murthy</t>
        </is>
      </c>
      <c r="M25" s="111" t="n"/>
      <c r="N25" s="111" t="n"/>
      <c r="O25" s="112" t="n"/>
      <c r="P25" s="3" t="n"/>
      <c r="Q25" s="3" t="n"/>
      <c r="R25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6" ht="83.5" customHeight="1" s="125">
      <c r="A26" s="10" t="inlineStr">
        <is>
          <t>B448</t>
        </is>
      </c>
      <c r="E26" s="3" t="n">
        <v>0</v>
      </c>
      <c r="F26" s="3">
        <f>8*5</f>
        <v/>
      </c>
      <c r="G26" s="9">
        <f>8*0</f>
        <v/>
      </c>
      <c r="H26" s="3">
        <f>SUM(E26:G26)</f>
        <v/>
      </c>
      <c r="I26" s="62" t="inlineStr">
        <is>
          <t>ABB - Plant Automation Pkg - Metering &amp; Blend Skid Insp - 19,23 (stage insp),30,31(fin. Insp)/12; Analyser Shelter ITP &amp; FAT proc. Appl</t>
        </is>
      </c>
      <c r="J26" s="62" t="n"/>
      <c r="K26" s="62" t="n"/>
      <c r="L26" s="110" t="inlineStr">
        <is>
          <t>Sanjeev Kumar/UK Mishra/NS Vasudev</t>
        </is>
      </c>
      <c r="M26" s="111" t="n"/>
      <c r="N26" s="111" t="n"/>
      <c r="O26" s="112" t="n"/>
      <c r="P26" s="3" t="n"/>
      <c r="Q26" s="3" t="n"/>
      <c r="S26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7" ht="83.5" customHeight="1" s="125">
      <c r="A27" s="3" t="inlineStr">
        <is>
          <t>B519</t>
        </is>
      </c>
      <c r="B27" t="n">
        <v>0</v>
      </c>
      <c r="C27" t="n">
        <v>2</v>
      </c>
      <c r="D27" t="n">
        <v>0</v>
      </c>
      <c r="E27" s="3">
        <f>2*B27</f>
        <v/>
      </c>
      <c r="F27" s="3">
        <f>8*0</f>
        <v/>
      </c>
      <c r="G27" s="9">
        <f>4</f>
        <v/>
      </c>
      <c r="H27" s="3">
        <f>SUM(E27:G27)</f>
        <v/>
      </c>
      <c r="I27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insp-25/7(1d); Nov'25: 1 OCS + 2ord FD exp.; Dec'25-6827- YIL-shelters- Doc rev/IRN end.</t>
        </is>
      </c>
      <c r="J27" s="62" t="n"/>
      <c r="K27" s="62" t="n"/>
      <c r="L27" s="110" t="inlineStr">
        <is>
          <t>G Suresh/HarshVardan/Prakash Jagarwal/DSNMurty</t>
        </is>
      </c>
      <c r="M27" s="111" t="n"/>
      <c r="N27" s="111" t="n"/>
      <c r="O27" s="112" t="n"/>
      <c r="P27" s="3" t="n"/>
      <c r="Q27" s="3" t="n"/>
    </row>
    <row r="28" ht="83.5" customHeight="1" s="125">
      <c r="A28" s="10" t="inlineStr">
        <is>
          <t>B548</t>
        </is>
      </c>
      <c r="E28" s="3" t="n">
        <v>0</v>
      </c>
      <c r="F28" s="3" t="n">
        <v>0</v>
      </c>
      <c r="G28" s="9" t="n">
        <v>0</v>
      </c>
      <c r="H28" s="3">
        <f>SUM(E28:G28)</f>
        <v/>
      </c>
      <c r="I28" s="62" t="n"/>
      <c r="J28" s="62" t="n"/>
      <c r="K28" s="62" t="n"/>
      <c r="L28" s="110" t="inlineStr">
        <is>
          <t>Sanjeev Kr/T Ravi/NS Vasudev/Sanjeev Kr Gupta</t>
        </is>
      </c>
      <c r="M28" s="111" t="n"/>
      <c r="N28" s="111" t="n"/>
      <c r="O28" s="112" t="n"/>
      <c r="P28" s="3" t="n"/>
      <c r="Q28" s="3" t="n"/>
      <c r="R28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29" ht="83.5" customHeight="1" s="125">
      <c r="A29" s="10" t="inlineStr">
        <is>
          <t>B559</t>
        </is>
      </c>
      <c r="B29" t="n">
        <v>3</v>
      </c>
      <c r="C29" t="n">
        <v>0</v>
      </c>
      <c r="D29" t="n">
        <v>0</v>
      </c>
      <c r="E29" s="3">
        <f>2*D29+2*D29</f>
        <v/>
      </c>
      <c r="F29" s="3" t="n">
        <v>0</v>
      </c>
      <c r="G29" s="9" t="n">
        <v>0</v>
      </c>
      <c r="H29" s="3">
        <f>SUM(E29:G29)</f>
        <v/>
      </c>
      <c r="I29" s="62" t="inlineStr">
        <is>
          <t xml:space="preserve">IOCL Biturox,Vad-Proj. Prof. uploaded on 20/3- Desk Expediting - NO OCS; 3 R orders expediting </t>
        </is>
      </c>
      <c r="J29" s="62" t="n"/>
      <c r="K29" s="62" t="n"/>
      <c r="L29" s="110" t="inlineStr">
        <is>
          <t xml:space="preserve">Muthu/Aravaazhi/SK Gayen/RK Gupta </t>
        </is>
      </c>
      <c r="M29" s="111" t="n"/>
      <c r="N29" s="111" t="n"/>
      <c r="O29" s="112" t="n"/>
      <c r="P29" s="3" t="n"/>
      <c r="Q29" s="3" t="n"/>
      <c r="R29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30" ht="83.5" customHeight="1" s="125">
      <c r="A30" s="3" t="inlineStr">
        <is>
          <t>B560</t>
        </is>
      </c>
      <c r="B30" t="n">
        <v>1</v>
      </c>
      <c r="C30" t="n">
        <v>4</v>
      </c>
      <c r="D30" t="n">
        <v>2</v>
      </c>
      <c r="E30" s="3">
        <f>2*(B30+D30)</f>
        <v/>
      </c>
      <c r="F30" s="3" t="n"/>
      <c r="G30" s="9" t="n">
        <v>0</v>
      </c>
      <c r="H30" s="3">
        <f>SUM(E30:G30)</f>
        <v/>
      </c>
      <c r="I30" s="62" t="inlineStr">
        <is>
          <t xml:space="preserve">Req.from ED(I) for expediting on 15/6/24 -1R ord+2OCS+4 FD exp &amp; OCS also to be made as per latest reqt.; </t>
        </is>
      </c>
      <c r="J30" s="62" t="n"/>
      <c r="K30" s="62" t="n"/>
      <c r="L30" s="110" t="inlineStr">
        <is>
          <t>G Suresh/Krishna Kumar/Vinod Kumar/RK Medhavi</t>
        </is>
      </c>
      <c r="M30" s="111" t="n"/>
      <c r="N30" s="111" t="n"/>
      <c r="O30" s="112" t="n"/>
      <c r="P30" s="3" t="n"/>
      <c r="Q30" s="3" t="n"/>
      <c r="R30" t="inlineStr">
        <is>
          <t>100h rel on 23/4</t>
        </is>
      </c>
    </row>
    <row r="31" ht="83.5" customHeight="1" s="125">
      <c r="A31" s="3" t="inlineStr">
        <is>
          <t>B571</t>
        </is>
      </c>
      <c r="E31" s="3">
        <f>8*3</f>
        <v/>
      </c>
      <c r="F31" s="3" t="n"/>
      <c r="G31" s="9" t="n"/>
      <c r="H31" s="3">
        <f>SUM(E31:G31)</f>
        <v/>
      </c>
      <c r="I31" s="62" t="inlineStr">
        <is>
          <t>ACL - Insp. Of Batt/Batt. Ch. At Univ. Insts (15-17/12)</t>
        </is>
      </c>
      <c r="J31" s="62" t="n"/>
      <c r="K31" s="62" t="n"/>
      <c r="L31" s="110" t="n"/>
      <c r="M31" s="111" t="n"/>
      <c r="N31" s="111" t="n"/>
      <c r="O31" s="112" t="n"/>
      <c r="P31" s="3" t="n"/>
      <c r="Q31" s="3" t="n"/>
      <c r="R31" t="inlineStr">
        <is>
          <t>24h rel on 16/1[24]</t>
        </is>
      </c>
    </row>
    <row r="32" ht="44" customHeight="1" s="125">
      <c r="A32" s="10" t="inlineStr">
        <is>
          <t>B589</t>
        </is>
      </c>
      <c r="E32" s="3" t="n">
        <v>0</v>
      </c>
      <c r="F32" s="3" t="n">
        <v>0</v>
      </c>
      <c r="G32" s="9" t="n">
        <v>0</v>
      </c>
      <c r="H32" s="3" t="n">
        <v>0</v>
      </c>
      <c r="I32" s="62" t="n"/>
      <c r="J32" s="62" t="n"/>
      <c r="K32" s="62" t="n"/>
      <c r="L32" s="110" t="inlineStr">
        <is>
          <t>Himangshu Pal/Sanjeev Kr/T Ravi/NS Vasudev/Sanjeev Kr Gupta</t>
        </is>
      </c>
      <c r="M32" s="111" t="n"/>
      <c r="N32" s="111" t="n"/>
      <c r="O32" s="112" t="n"/>
      <c r="P32" s="3" t="n"/>
      <c r="Q32" s="3" t="n"/>
      <c r="R32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3" ht="83.5" customHeight="1" s="125">
      <c r="A33" s="10" t="inlineStr">
        <is>
          <t>B650</t>
        </is>
      </c>
      <c r="B33" t="n">
        <v>0</v>
      </c>
      <c r="D33" t="n">
        <v>0</v>
      </c>
      <c r="E33" s="3">
        <f>B33*2+2*D33</f>
        <v/>
      </c>
      <c r="F33" s="3" t="n"/>
      <c r="G33" s="9" t="n"/>
      <c r="H33" s="3">
        <f>SUM(E33:G33)</f>
        <v/>
      </c>
      <c r="I33" s="62" t="inlineStr">
        <is>
          <t xml:space="preserve">1ord FD exp - No scope for RPO - however, OCS to be done </t>
        </is>
      </c>
      <c r="J33" s="62" t="n"/>
      <c r="K33" s="62" t="n"/>
      <c r="L33" s="110" t="inlineStr">
        <is>
          <t>G Suresh/Sanjay Choudhary/Siddant Kumar</t>
        </is>
      </c>
      <c r="M33" s="111" t="n"/>
      <c r="N33" s="111" t="n"/>
      <c r="O33" s="112" t="n"/>
      <c r="P33" s="3" t="n"/>
      <c r="Q33" s="3" t="n"/>
    </row>
    <row r="34" ht="83.5" customHeight="1" s="125">
      <c r="A34" s="10" t="inlineStr">
        <is>
          <t>B653</t>
        </is>
      </c>
      <c r="B34" t="n">
        <v>5</v>
      </c>
      <c r="C34" t="n">
        <v>4</v>
      </c>
      <c r="D34" t="n">
        <v>2</v>
      </c>
      <c r="E34" s="3">
        <f>2*(B34+D34)*2</f>
        <v/>
      </c>
      <c r="F34" s="3" t="n"/>
      <c r="G34" s="9">
        <f>8*0.5</f>
        <v/>
      </c>
      <c r="H34" s="3">
        <f>SUM(E34:G34)</f>
        <v/>
      </c>
      <c r="I34" s="62" t="inlineStr">
        <is>
          <t>Expediting by RPOs as per email dtd 22/10/24, OCS by RPO as per CS mail dt 17/1; (6 running incl 6FD exp+1 OCS);Ultra Filter review &amp; exp 2 mtgs. -4h</t>
        </is>
      </c>
      <c r="J34" s="62" t="n"/>
      <c r="K34" s="62" t="n"/>
      <c r="L34" s="110" t="inlineStr">
        <is>
          <t>G Suresh/Sumanta Mondal/Aasheesh Handa/Amandeep Kaur</t>
        </is>
      </c>
      <c r="M34" s="111" t="n"/>
      <c r="N34" s="111" t="n"/>
      <c r="O34" s="112" t="n"/>
      <c r="P34" s="3" t="n"/>
      <c r="Q34" s="3" t="n"/>
      <c r="R34" t="inlineStr">
        <is>
          <t>40h rel on 9/4/24 [40]</t>
        </is>
      </c>
    </row>
    <row r="35" ht="83.5" customHeight="1" s="125">
      <c r="A35" s="3" t="inlineStr">
        <is>
          <t>B725</t>
        </is>
      </c>
      <c r="B35" s="3" t="n">
        <v>4</v>
      </c>
      <c r="C35" s="3" t="n"/>
      <c r="E35" s="3" t="n"/>
      <c r="F35" s="3" t="n">
        <v>0</v>
      </c>
      <c r="G35" s="9" t="n">
        <v>0</v>
      </c>
      <c r="H35" s="3">
        <f>SUM(E35:G35)</f>
        <v/>
      </c>
      <c r="I35" s="62" t="inlineStr">
        <is>
          <t xml:space="preserve">No expediting; </t>
        </is>
      </c>
      <c r="J35" s="62" t="n"/>
      <c r="K35" s="62" t="n"/>
      <c r="L35" s="110" t="inlineStr">
        <is>
          <t>Sanjeev Kumar- Scope: Rev. of ITP,Insp Docs &amp; FD</t>
        </is>
      </c>
      <c r="M35" s="111" t="n"/>
      <c r="N35" s="111" t="n"/>
      <c r="O35" s="112" t="n"/>
      <c r="P35" s="3" t="n"/>
      <c r="Q35" s="3" t="n"/>
      <c r="R35" t="inlineStr">
        <is>
          <t>4h sought by BT on 27/5 to Sanjeev Kr</t>
        </is>
      </c>
    </row>
    <row r="36" ht="83.5" customHeight="1" s="125">
      <c r="A36" s="3" t="inlineStr">
        <is>
          <t>B767</t>
        </is>
      </c>
      <c r="B36" s="3" t="n"/>
      <c r="C36" s="3" t="n"/>
      <c r="E36" s="3" t="n"/>
      <c r="F36" s="3">
        <f>8*2</f>
        <v/>
      </c>
      <c r="G36" s="9" t="n">
        <v>0</v>
      </c>
      <c r="H36" s="3">
        <f>SUM(E36:G36)</f>
        <v/>
      </c>
      <c r="I36" s="62" t="inlineStr">
        <is>
          <t>Visit to OLA -10/12 - 16h recd on 24/12</t>
        </is>
      </c>
      <c r="J36" s="62" t="n"/>
      <c r="K36" s="62" t="n"/>
      <c r="L36" s="110" t="inlineStr">
        <is>
          <t>Saeed Akhtar/Vikalp Paliwal/Balakumar</t>
        </is>
      </c>
      <c r="M36" s="111" t="n"/>
      <c r="N36" s="111" t="n"/>
      <c r="O36" s="112" t="n"/>
      <c r="P36" s="3" t="n"/>
      <c r="Q36" s="3" t="n"/>
      <c r="R36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7" ht="83.5" customHeight="1" s="125">
      <c r="A37" s="3" t="inlineStr">
        <is>
          <t>B795</t>
        </is>
      </c>
      <c r="B37" s="3" t="n">
        <v>5</v>
      </c>
      <c r="C37" s="3" t="n"/>
      <c r="E37" s="3">
        <f>5*2</f>
        <v/>
      </c>
      <c r="F37" s="3">
        <f>8*0.5</f>
        <v/>
      </c>
      <c r="G37" s="9" t="n"/>
      <c r="H37" s="3">
        <f>SUM(E37:G37)</f>
        <v/>
      </c>
      <c r="I37" s="62" t="inlineStr">
        <is>
          <t>Insp:  -QAP appl. &amp; Insp. in EIL scope(desk exp.by Monitor) ;Telecom System-ABB-Exp. By RPO as per Pjt. Profile loaded in Nov'25 - From15/11/25, expediting by RPOs; Insp: Schneider(PO26)-Doc rev/IRN;ABB(12/12) &amp; ECIL PoC(23/12)</t>
        </is>
      </c>
      <c r="J37" s="62" t="n"/>
      <c r="K37" s="62" t="n"/>
      <c r="L37" s="110" t="inlineStr">
        <is>
          <t>Muthu/Hemant Gadasia/Tarun Bansal/Dipak Panchal</t>
        </is>
      </c>
      <c r="M37" s="111" t="n"/>
      <c r="N37" s="111" t="n"/>
      <c r="O37" s="112" t="n"/>
      <c r="P37" s="3" t="n"/>
      <c r="Q37" s="3" t="n"/>
      <c r="R37" t="inlineStr">
        <is>
          <t>32h rels. On 12/9;64h on 16/1; addl 100h rel on 20/1 [276];14h rel on 15/1[368]</t>
        </is>
      </c>
    </row>
    <row r="38" ht="83.5" customHeight="1" s="125">
      <c r="A38" s="3" t="inlineStr">
        <is>
          <t>B813</t>
        </is>
      </c>
      <c r="B38" t="n">
        <v>1</v>
      </c>
      <c r="C38" s="3" t="n"/>
      <c r="E38" s="3">
        <f>2*B38</f>
        <v/>
      </c>
      <c r="F38" s="3" t="n"/>
      <c r="G38" s="9" t="n"/>
      <c r="H38" s="3">
        <f>SUM(E38:G38)</f>
        <v/>
      </c>
      <c r="I38" s="62" t="inlineStr">
        <is>
          <t>Expedite &amp; Inspect critical items (list provided in mail dt.29/5/25) EIL on man-day reimbursable basis - 1 order on KSBMIL</t>
        </is>
      </c>
      <c r="J38" s="62" t="n"/>
      <c r="K38" s="62" t="n"/>
      <c r="L38" s="110" t="inlineStr">
        <is>
          <t>Sanjeev Kumar/Raviraj/Shivaji</t>
        </is>
      </c>
      <c r="M38" s="111" t="n"/>
      <c r="N38" s="111" t="n"/>
      <c r="O38" s="112" t="inlineStr">
        <is>
          <t>NRL-Aqueous Ammonia Unit</t>
        </is>
      </c>
      <c r="P38" s="3" t="n"/>
      <c r="Q38" s="3" t="n"/>
      <c r="R38" t="inlineStr">
        <is>
          <t>12h rel on 17/1[12]</t>
        </is>
      </c>
    </row>
    <row r="39" ht="83.5" customHeight="1" s="125">
      <c r="A39" s="3" t="inlineStr">
        <is>
          <t>B860</t>
        </is>
      </c>
      <c r="B39" s="96" t="n">
        <v>1</v>
      </c>
      <c r="C39" s="3" t="n"/>
      <c r="E39" s="3">
        <f>8*2</f>
        <v/>
      </c>
      <c r="F39" s="3" t="n"/>
      <c r="G39" s="9" t="n"/>
      <c r="H39" s="3">
        <f>SUM(E39:G39)</f>
        <v/>
      </c>
      <c r="I39" s="62" t="inlineStr">
        <is>
          <t>YIL-Terminal Automation System - Expediting &amp; Insp. - expediting &amp; all stake holders mtgs.(15,18/12)</t>
        </is>
      </c>
      <c r="J39" s="62" t="n"/>
      <c r="K39" s="62" t="n"/>
      <c r="L39" s="110" t="inlineStr">
        <is>
          <t>Muthu/Hemant Gadasia/Giridhar Nanduri/Sanjeev Gupta/RK Medhavi</t>
        </is>
      </c>
      <c r="M39" s="111" t="n"/>
      <c r="N39" s="111" t="n"/>
      <c r="O39" s="112" t="n"/>
      <c r="P39" s="3" t="inlineStr">
        <is>
          <t>KLL-Addl Terminals</t>
        </is>
      </c>
      <c r="Q39" s="3" t="n"/>
    </row>
    <row r="40" ht="83.5" customHeight="1" s="125">
      <c r="A40" s="3" t="inlineStr">
        <is>
          <t>B861</t>
        </is>
      </c>
      <c r="B40" t="n">
        <v>1</v>
      </c>
      <c r="C40" s="3" t="n"/>
      <c r="E40" s="3">
        <f>8*2</f>
        <v/>
      </c>
      <c r="F40" s="3">
        <f>8*2</f>
        <v/>
      </c>
      <c r="G40" s="9" t="n"/>
      <c r="H40" s="3">
        <f>SUM(E40:G40)</f>
        <v/>
      </c>
      <c r="I40" s="62" t="inlineStr">
        <is>
          <t>Enginemates order - Expediting, Rev. Mtg.,PAUT proc. Appl,Rev. of MTCs; Insp visit 29-30/12 (Plate id.+Pr.test+PAUT/UT/MPT+RT film rev. etc.)</t>
        </is>
      </c>
      <c r="J40" s="62" t="n"/>
      <c r="K40" s="62" t="n"/>
      <c r="L40" s="110" t="inlineStr">
        <is>
          <t>Muthu/Hemant Gadasia/Shashank Nayyar/D Jana</t>
        </is>
      </c>
      <c r="M40" s="111" t="n"/>
      <c r="N40" s="111" t="n"/>
      <c r="O40" s="112" t="n"/>
      <c r="P40" s="3" t="n"/>
      <c r="Q40" s="3" t="n"/>
      <c r="R40" t="inlineStr">
        <is>
          <t>40h rel on 19/1[102]</t>
        </is>
      </c>
    </row>
    <row r="41" ht="83.5" customHeight="1" s="125">
      <c r="A41" s="3" t="inlineStr">
        <is>
          <t>B862</t>
        </is>
      </c>
      <c r="B41" t="n">
        <v>7</v>
      </c>
      <c r="C41" s="3" t="n">
        <v>1</v>
      </c>
      <c r="E41" s="3">
        <f>B41*2</f>
        <v/>
      </c>
      <c r="F41" s="3" t="n"/>
      <c r="G41" s="9" t="n">
        <v>8</v>
      </c>
      <c r="H41" s="3">
        <f>SUM(E41:G41)</f>
        <v/>
      </c>
      <c r="I41" s="62" t="inlineStr">
        <is>
          <t>manhour for Level- 13 (Group-2), Level -15 &amp; 16 (Group-4) and Level-18 (Group-5) have far exceeded ceiling prescribed in the contract - &gt;Lvl 17-mh limited to 16%; Mtg-17/12-4hrs-exp+Disc. of.insp. Meth. &amp; scope for Active Unloading Pkg-QLAR; Fin. Cat. Plan appl(30/12)</t>
        </is>
      </c>
      <c r="J41" s="62" t="n"/>
      <c r="K41" s="62" t="n"/>
      <c r="L41" s="110" t="inlineStr">
        <is>
          <t>Sanjeev Kumar/Rajeev Khandelwal IOM 10/7/24 from Mr Rajeev Khandelwal on level wise breakup of MH to be booked - to be followed while seeking MH.</t>
        </is>
      </c>
      <c r="M41" s="111" t="n"/>
      <c r="N41" s="111" t="n"/>
      <c r="O41" s="112" t="inlineStr">
        <is>
          <t>PLL</t>
        </is>
      </c>
      <c r="P41" s="3" t="n"/>
      <c r="Q41" s="3" t="n"/>
      <c r="R41" t="inlineStr">
        <is>
          <t>200h rel in May'25</t>
        </is>
      </c>
    </row>
    <row r="42" ht="83.5" customHeight="1" s="125">
      <c r="A42" s="3" t="inlineStr">
        <is>
          <t>B865</t>
        </is>
      </c>
      <c r="C42" s="3" t="n"/>
      <c r="E42" s="3" t="n"/>
      <c r="F42" s="3" t="n"/>
      <c r="G42" s="9" t="n"/>
      <c r="H42" s="3" t="n"/>
      <c r="I42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J42" s="62" t="n"/>
      <c r="K42" s="62" t="n"/>
      <c r="L42" s="110" t="inlineStr">
        <is>
          <t>Muthu/CS Prasad/</t>
        </is>
      </c>
      <c r="M42" s="111" t="n"/>
      <c r="N42" s="111" t="n"/>
      <c r="O42" s="112" t="inlineStr">
        <is>
          <t>HPCL Petchem Mktg Terminal</t>
        </is>
      </c>
      <c r="P42" s="3" t="n"/>
      <c r="Q42" s="3" t="n"/>
    </row>
    <row r="43" ht="83.5" customHeight="1" s="125">
      <c r="A43" s="3" t="inlineStr">
        <is>
          <t>B889</t>
        </is>
      </c>
      <c r="B43" t="n">
        <v>1</v>
      </c>
      <c r="C43" s="3" t="n"/>
      <c r="E43" s="3">
        <f>2*B43</f>
        <v/>
      </c>
      <c r="F43" s="3" t="n"/>
      <c r="G43" s="9" t="n"/>
      <c r="H43" s="3">
        <f>SUM(E43:G43)</f>
        <v/>
      </c>
      <c r="I43" s="62" t="inlineStr">
        <is>
          <t>Expediting+OCS</t>
        </is>
      </c>
      <c r="J43" s="62" t="n"/>
      <c r="K43" s="62" t="n"/>
      <c r="L43" s="110" t="inlineStr">
        <is>
          <t>Vasu/</t>
        </is>
      </c>
      <c r="M43" s="111" t="n"/>
      <c r="N43" s="111" t="n"/>
      <c r="O43" s="112" t="inlineStr">
        <is>
          <t>MIL-Khadki</t>
        </is>
      </c>
      <c r="P43" s="3" t="n"/>
      <c r="Q43" s="3" t="n"/>
      <c r="R43" t="inlineStr">
        <is>
          <t>2h rel on 19/1[2]</t>
        </is>
      </c>
    </row>
    <row r="44" ht="83.5" customHeight="1" s="125">
      <c r="A44" s="3" t="inlineStr">
        <is>
          <t>B895</t>
        </is>
      </c>
      <c r="B44" t="n">
        <v>2</v>
      </c>
      <c r="C44" s="3" t="n"/>
      <c r="E44" s="3">
        <f>2*B44</f>
        <v/>
      </c>
      <c r="F44" s="3" t="n"/>
      <c r="G44" s="9" t="n">
        <v>4</v>
      </c>
      <c r="H44" s="3">
        <f>SUM(E44:G44)</f>
        <v/>
      </c>
      <c r="I44" s="62" t="inlineStr">
        <is>
          <t>1order oneach on Flowserve/Belgaum Aqua; FS Pumps QAP appl.</t>
        </is>
      </c>
      <c r="J44" s="62" t="n"/>
      <c r="K44" s="62" t="n"/>
      <c r="L44" s="110" t="inlineStr">
        <is>
          <t>Muthu/CS Prasad/Sujit Saha Roy/Shashank/Rajesh Bhatla</t>
        </is>
      </c>
      <c r="M44" s="111" t="n"/>
      <c r="N44" s="111" t="n"/>
      <c r="O44" s="112" t="n"/>
      <c r="P44" s="3" t="inlineStr">
        <is>
          <t>BPCL Kochi - Exp+Insp</t>
        </is>
      </c>
      <c r="Q44" s="3" t="n"/>
      <c r="R44" t="inlineStr">
        <is>
          <t>6h rel on 1/1[8]</t>
        </is>
      </c>
    </row>
    <row r="45" ht="83.5" customHeight="1" s="125">
      <c r="A45" s="3" t="inlineStr">
        <is>
          <t>B903</t>
        </is>
      </c>
      <c r="B45" t="n">
        <v>1</v>
      </c>
      <c r="C45" s="3" t="n">
        <v>1</v>
      </c>
      <c r="D45" t="n">
        <v>1</v>
      </c>
      <c r="E45" s="3">
        <f>2*(B45+D45)</f>
        <v/>
      </c>
      <c r="F45" s="3" t="n">
        <v>0</v>
      </c>
      <c r="G45" s="9" t="n"/>
      <c r="H45" s="3">
        <f>SUM(E45:G45)</f>
        <v/>
      </c>
      <c r="I45" s="62" t="inlineStr">
        <is>
          <t>1 ord exp+1OCS+1FD sub exp</t>
        </is>
      </c>
      <c r="J45" s="62" t="n"/>
      <c r="K45" s="62" t="n"/>
      <c r="L45" s="110" t="inlineStr">
        <is>
          <t>Sanjeev Kumar/Shnaoli</t>
        </is>
      </c>
      <c r="M45" s="111" t="n"/>
      <c r="N45" s="111" t="n"/>
      <c r="O45" s="112" t="n"/>
      <c r="P45" s="3" t="n"/>
      <c r="Q45" s="3" t="n"/>
    </row>
    <row r="46" ht="83.5" customHeight="1" s="125">
      <c r="A46" s="3" t="inlineStr">
        <is>
          <t>B904</t>
        </is>
      </c>
      <c r="B46" t="n">
        <v>0</v>
      </c>
      <c r="C46" s="3" t="n"/>
      <c r="D46" t="n">
        <v>1</v>
      </c>
      <c r="E46" s="3">
        <f>2*1</f>
        <v/>
      </c>
      <c r="F46" s="3" t="n"/>
      <c r="G46" s="9" t="n"/>
      <c r="H46" s="3">
        <f>SUM(E46:G46)</f>
        <v/>
      </c>
      <c r="I46" s="62" t="inlineStr">
        <is>
          <t>1 OCS</t>
        </is>
      </c>
      <c r="J46" s="62" t="n"/>
      <c r="K46" s="62" t="n"/>
      <c r="L46" s="110" t="inlineStr">
        <is>
          <t>Sanjeev Kumar/Shnaoli</t>
        </is>
      </c>
      <c r="M46" s="111" t="n"/>
      <c r="N46" s="111" t="n"/>
      <c r="O46" s="112" t="n"/>
      <c r="P46" s="3" t="n"/>
      <c r="Q46" s="3" t="n"/>
      <c r="R46" t="inlineStr">
        <is>
          <t>24mh rel on 20/1[38]</t>
        </is>
      </c>
    </row>
    <row r="47" ht="83.5" customHeight="1" s="125">
      <c r="A47" s="3" t="inlineStr">
        <is>
          <t>B933</t>
        </is>
      </c>
      <c r="B47" t="n">
        <v>3</v>
      </c>
      <c r="C47" s="3" t="n"/>
      <c r="E47" s="3">
        <f>2*B47</f>
        <v/>
      </c>
      <c r="F47" s="3">
        <f>8*0</f>
        <v/>
      </c>
      <c r="G47" s="9" t="n">
        <v>8</v>
      </c>
      <c r="H47" s="3">
        <f>SUM(E47:G47)</f>
        <v/>
      </c>
      <c r="I47" s="62" t="inlineStr">
        <is>
          <t>3 Orders exp.; Phils Engg. - Mtgs. For expediting &amp; review of QAP/AI scope etc.; FS Pumps QAP appl.</t>
        </is>
      </c>
      <c r="J47" s="62" t="n"/>
      <c r="K47" s="62" t="n"/>
      <c r="L47" s="110" t="inlineStr">
        <is>
          <t>G Suresh/Binoy Debnath</t>
        </is>
      </c>
      <c r="M47" s="111" t="n"/>
      <c r="N47" s="111" t="n"/>
      <c r="O47" s="112" t="n"/>
      <c r="P47" s="3" t="inlineStr">
        <is>
          <t>BPCL Bina ref.</t>
        </is>
      </c>
      <c r="Q47" s="3" t="n"/>
    </row>
    <row r="48" ht="83.5" customHeight="1" s="125">
      <c r="A48" s="3" t="inlineStr">
        <is>
          <t>B943</t>
        </is>
      </c>
      <c r="B48" t="n">
        <v>3</v>
      </c>
      <c r="C48" s="3" t="n"/>
      <c r="E48" s="3">
        <f>2*B48</f>
        <v/>
      </c>
      <c r="F48" s="3" t="n"/>
      <c r="G48" s="9" t="n"/>
      <c r="H48" s="3">
        <f>SUM(E48:G48)</f>
        <v/>
      </c>
      <c r="I48" s="62" t="inlineStr">
        <is>
          <t>3 orders exp.</t>
        </is>
      </c>
      <c r="J48" s="62" t="n"/>
      <c r="K48" s="62" t="n"/>
      <c r="L48" s="110" t="inlineStr">
        <is>
          <t>Sanjeev Kumar</t>
        </is>
      </c>
      <c r="M48" s="111" t="n"/>
      <c r="N48" s="111" t="n"/>
      <c r="O48" s="112" t="inlineStr">
        <is>
          <t>MRPL</t>
        </is>
      </c>
      <c r="P48" s="3" t="n"/>
      <c r="Q48" s="3" t="n"/>
      <c r="R48" t="inlineStr">
        <is>
          <t>10h rel on 17/1[18];8h rel on 20/1[26]</t>
        </is>
      </c>
    </row>
    <row r="49" ht="83.5" customHeight="1" s="125">
      <c r="A49" s="3" t="inlineStr">
        <is>
          <t>B957</t>
        </is>
      </c>
      <c r="B49" s="3" t="n">
        <v>2</v>
      </c>
      <c r="C49" s="3" t="n"/>
      <c r="E49" s="3">
        <f>B49*0</f>
        <v/>
      </c>
      <c r="F49" s="3" t="n"/>
      <c r="G49" s="9" t="n">
        <v>16</v>
      </c>
      <c r="H49" s="3">
        <f>SUM(E49:G49)</f>
        <v/>
      </c>
      <c r="I49" s="62" t="inlineStr">
        <is>
          <t xml:space="preserve">Vihawk - Mtgs. With all stake holders on 2,9,22/12, QAP appls. </t>
        </is>
      </c>
      <c r="J49" s="62" t="n"/>
      <c r="K49" s="62" t="n"/>
      <c r="L49" s="110" t="n"/>
      <c r="M49" s="111" t="n"/>
      <c r="N49" s="111" t="n"/>
      <c r="O49" s="112" t="n"/>
      <c r="P49" s="3" t="n"/>
      <c r="Q49" s="3" t="n"/>
    </row>
    <row r="50" ht="83.5" customHeight="1" s="125">
      <c r="A50" s="3" t="inlineStr">
        <is>
          <t>C007</t>
        </is>
      </c>
      <c r="B50" s="3" t="n">
        <v>0</v>
      </c>
      <c r="C50" s="3" t="n"/>
      <c r="E50" s="3" t="n"/>
      <c r="F50" s="3">
        <f>8*B50</f>
        <v/>
      </c>
      <c r="G50" s="9" t="n"/>
      <c r="H50" s="3">
        <f>SUM(E50:G50)</f>
        <v/>
      </c>
      <c r="I50" s="62" t="inlineStr">
        <is>
          <t xml:space="preserve">Scope: Insp/Exp. of GAIL dir. Orders - </t>
        </is>
      </c>
      <c r="J50" s="62" t="n"/>
      <c r="K50" s="62" t="n"/>
      <c r="L50" s="110" t="inlineStr">
        <is>
          <t>Muthu/Hemant Gadasia/Rajeev Chak/RSKanna</t>
        </is>
      </c>
      <c r="M50" s="111" t="n"/>
      <c r="N50" s="111" t="n"/>
      <c r="O50" s="112" t="n"/>
      <c r="P50" s="3" t="inlineStr">
        <is>
          <t>Vijaypur/Pata P/L</t>
        </is>
      </c>
      <c r="Q50" s="3" t="n"/>
    </row>
    <row r="51" ht="83.5" customHeight="1" s="125">
      <c r="A51" s="3" t="inlineStr">
        <is>
          <t>C028</t>
        </is>
      </c>
      <c r="B51" s="3" t="n">
        <v>0</v>
      </c>
      <c r="C51" s="3" t="n"/>
      <c r="E51" s="3" t="n"/>
      <c r="F51" s="3" t="n"/>
      <c r="G51" s="9" t="n"/>
      <c r="H51" s="3">
        <f>8*B51</f>
        <v/>
      </c>
      <c r="I51" s="62" t="inlineStr">
        <is>
          <t xml:space="preserve">Pipemill Coating </t>
        </is>
      </c>
      <c r="J51" s="62" t="n"/>
      <c r="K51" s="62" t="n"/>
      <c r="L51" s="110" t="n"/>
      <c r="M51" s="111" t="n"/>
      <c r="N51" s="111" t="n"/>
      <c r="O51" s="112" t="n"/>
      <c r="P51" s="3" t="n"/>
      <c r="Q51" s="3" t="n"/>
    </row>
    <row r="52" ht="46" customHeight="1" s="125">
      <c r="A52" s="3" t="inlineStr">
        <is>
          <t>Leave</t>
        </is>
      </c>
      <c r="B52" s="3" t="n">
        <v>15.5</v>
      </c>
      <c r="C52" s="3" t="n"/>
      <c r="D52" s="3" t="n"/>
      <c r="E52" s="3" t="n"/>
      <c r="F52" s="3" t="n"/>
      <c r="G52" s="9" t="inlineStr">
        <is>
          <t xml:space="preserve"> </t>
        </is>
      </c>
      <c r="H52" s="3">
        <f>8*B52</f>
        <v/>
      </c>
      <c r="I52" s="62" t="inlineStr">
        <is>
          <t>VR:17,18,24,26, AG:5,15,16;SV-1,2,9;BT-9(0.5),22,23,24,26(4);NV-1; Viji - 3/12(aft-0.5);9,16,29,30</t>
        </is>
      </c>
      <c r="J52" s="62" t="n"/>
      <c r="K52" s="62" t="n"/>
      <c r="L52" s="110" t="inlineStr">
        <is>
          <t xml:space="preserve"> </t>
        </is>
      </c>
      <c r="M52" s="111" t="n"/>
      <c r="N52" s="111" t="n"/>
      <c r="O52" s="112" t="n"/>
      <c r="P52" s="3" t="n"/>
      <c r="Q52" s="3">
        <f>H52-P52</f>
        <v/>
      </c>
      <c r="R52" t="n">
        <v>68</v>
      </c>
    </row>
    <row r="53" ht="45.5" customHeight="1" s="125">
      <c r="A53" s="3" t="inlineStr">
        <is>
          <t>Total</t>
        </is>
      </c>
      <c r="B53" s="3">
        <f>SUM(B10:B52)</f>
        <v/>
      </c>
      <c r="C53" s="3" t="n"/>
      <c r="D53" s="3" t="n"/>
      <c r="E53" s="3" t="n"/>
      <c r="F53" s="3" t="n"/>
      <c r="G53" s="9" t="n"/>
      <c r="H53" s="3">
        <f>SUM(H4:H52)</f>
        <v/>
      </c>
      <c r="I53" s="56" t="n"/>
      <c r="J53" s="56" t="n"/>
      <c r="K53" s="56" t="n"/>
      <c r="L53" s="110" t="n"/>
      <c r="M53" s="111" t="n"/>
      <c r="N53" s="111" t="n"/>
      <c r="O53" s="112" t="n"/>
      <c r="P53" s="3" t="n"/>
      <c r="Q53" s="3">
        <f>H53-P53</f>
        <v/>
      </c>
      <c r="R53">
        <f>SUM(R10:R52)</f>
        <v/>
      </c>
      <c r="S53">
        <f>672-R53</f>
        <v/>
      </c>
    </row>
    <row r="54" ht="83.5" customHeight="1" s="125">
      <c r="A54" s="3" t="n"/>
      <c r="B54" s="3" t="n"/>
      <c r="C54" s="3" t="n"/>
      <c r="D54" s="3" t="n"/>
      <c r="E54" s="3" t="n"/>
      <c r="F54" s="3" t="n"/>
      <c r="G54" s="9" t="n"/>
      <c r="H54" s="3" t="inlineStr">
        <is>
          <t xml:space="preserve"> </t>
        </is>
      </c>
      <c r="I54" s="56" t="n"/>
      <c r="J54" s="56" t="n"/>
      <c r="K54" s="56">
        <f>52*5*3- 36</f>
        <v/>
      </c>
      <c r="L54" s="110" t="n"/>
      <c r="M54" s="111" t="n"/>
      <c r="N54" s="111" t="n"/>
      <c r="O54" s="112" t="n"/>
      <c r="P54" s="3" t="n"/>
      <c r="Q54" s="3" t="n"/>
    </row>
    <row r="55" ht="83.5" customHeight="1" s="125">
      <c r="A55" s="3" t="inlineStr">
        <is>
          <t>Notes:</t>
        </is>
      </c>
      <c r="B55" s="3" t="n"/>
      <c r="C55" s="3" t="n"/>
      <c r="D55" s="3" t="n"/>
      <c r="E55" s="3" t="n"/>
      <c r="F55" s="3" t="n"/>
      <c r="G55" s="9" t="n"/>
      <c r="H55" s="3" t="n"/>
      <c r="I55" s="56" t="n"/>
      <c r="J55" s="56" t="n"/>
      <c r="K55" s="56" t="n"/>
      <c r="L55" s="110" t="n"/>
      <c r="M55" s="111" t="inlineStr">
        <is>
          <t xml:space="preserve"> </t>
        </is>
      </c>
      <c r="N55" s="111" t="n"/>
      <c r="O55" s="112" t="n"/>
      <c r="P55" s="3" t="n"/>
      <c r="Q55" s="3" t="n"/>
    </row>
    <row r="56" ht="83.5" customHeight="1" s="125">
      <c r="A56" s="3" t="inlineStr">
        <is>
          <t>1. If there are any other job nos., pl. include the same.</t>
        </is>
      </c>
      <c r="B56" s="3" t="n"/>
      <c r="C56" s="3" t="n"/>
      <c r="D56" s="3" t="n"/>
      <c r="E56" s="3" t="n"/>
      <c r="F56" s="3" t="n"/>
      <c r="G56" s="9" t="n"/>
      <c r="H56" s="3" t="n"/>
      <c r="I56" s="9" t="inlineStr">
        <is>
          <t xml:space="preserve"> </t>
        </is>
      </c>
      <c r="J56" s="111" t="n"/>
      <c r="K56" s="112" t="n"/>
      <c r="L56" s="6" t="inlineStr">
        <is>
          <t xml:space="preserve"> </t>
        </is>
      </c>
      <c r="M56" s="7" t="inlineStr">
        <is>
          <t xml:space="preserve"> </t>
        </is>
      </c>
      <c r="N56" s="7" t="n"/>
      <c r="O56" s="8" t="n"/>
      <c r="P56" s="3" t="n"/>
      <c r="Q56" s="3" t="n"/>
    </row>
    <row r="57">
      <c r="A57" s="24" t="inlineStr">
        <is>
          <t xml:space="preserve">Guidelines : 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</row>
    <row r="58">
      <c r="A58" s="26" t="inlineStr">
        <is>
          <t>1. Inspection Visit including review and endorsement of final documents: At  actual</t>
        </is>
      </c>
      <c r="B58" s="26" t="n"/>
      <c r="C58" s="26" t="n"/>
      <c r="D58" s="26" t="n"/>
    </row>
    <row r="59">
      <c r="A59" s="26" t="inlineStr">
        <is>
          <t xml:space="preserve">2. Expediting and preparation of expediting report: Average 2 hours /month /order ( No separate man hours for coordination ) </t>
        </is>
      </c>
      <c r="S59" t="inlineStr">
        <is>
          <t xml:space="preserve"> </t>
        </is>
      </c>
    </row>
    <row r="60">
      <c r="A60" s="26" t="inlineStr">
        <is>
          <t xml:space="preserve">3. Expediting visit/ Attending meeting with project/.Client: At  actual </t>
        </is>
      </c>
    </row>
    <row r="61">
      <c r="A61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2">
      <c r="A62" s="26" t="inlineStr">
        <is>
          <t xml:space="preserve">5. Review of ITP for Equipment (Mechanical and Electrical/DCS etc): Average 2 hours/order </t>
        </is>
      </c>
      <c r="O62" t="inlineStr">
        <is>
          <t xml:space="preserve"> </t>
        </is>
      </c>
    </row>
    <row r="63">
      <c r="A63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4">
      <c r="A64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5">
      <c r="A65" s="26" t="inlineStr">
        <is>
          <t xml:space="preserve">8. Order Closing report: Average 2 hours/Order  </t>
        </is>
      </c>
    </row>
    <row r="66">
      <c r="A66" s="27" t="n"/>
    </row>
    <row r="67">
      <c r="L67" t="inlineStr">
        <is>
          <t xml:space="preserve"> </t>
        </is>
      </c>
    </row>
  </sheetData>
  <mergeCells count="7">
    <mergeCell ref="I11:K11"/>
    <mergeCell ref="I10:K10"/>
    <mergeCell ref="A2:K2"/>
    <mergeCell ref="L2:O2"/>
    <mergeCell ref="I56:K56"/>
    <mergeCell ref="I3:K3"/>
    <mergeCell ref="A1:K1"/>
  </mergeCells>
  <pageMargins left="0.7" right="0.7" top="0.75" bottom="0.75" header="0.3" footer="0.3"/>
  <pageSetup orientation="landscape" paperSize="9"/>
</worksheet>
</file>

<file path=xl/worksheets/sheet20.xml><?xml version="1.0" encoding="utf-8"?>
<worksheet xmlns="http://schemas.openxmlformats.org/spreadsheetml/2006/main">
  <sheetPr>
    <tabColor theme="0"/>
    <outlinePr summaryBelow="1" summaryRight="1"/>
    <pageSetUpPr fitToPage="1"/>
  </sheetPr>
  <dimension ref="A1:Y64"/>
  <sheetViews>
    <sheetView workbookViewId="0">
      <selection activeCell="F4" sqref="F4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45992</v>
      </c>
      <c r="M1" s="122" t="inlineStr">
        <is>
          <t xml:space="preserve">Total MH reqd: </t>
        </is>
      </c>
      <c r="O1" s="122">
        <f>ConsolidatedMHrequirementDec25!A2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24/12/25</t>
        </is>
      </c>
      <c r="L3" s="33" t="inlineStr">
        <is>
          <t>Shortfall</t>
        </is>
      </c>
    </row>
    <row r="4" ht="15" customHeight="1" s="125">
      <c r="A4" s="71" t="n">
        <v>4994</v>
      </c>
      <c r="B4" s="3">
        <f>ConsolidatedMHrequirementDec25!B4</f>
        <v/>
      </c>
      <c r="C4" s="3" t="n"/>
      <c r="D4" s="3" t="n"/>
      <c r="E4" s="3" t="n"/>
      <c r="F4" s="41">
        <f>VLOOKUP(A4,ConsolidatedMHrequirementDec25!$A$4:$K$53,4,FALSE)</f>
        <v/>
      </c>
      <c r="G4" s="3">
        <f>ConsolidatedMHrequirementDec25!F4</f>
        <v/>
      </c>
      <c r="H4" s="3">
        <f>ConsolidatedMHrequirementDec25!E4</f>
        <v/>
      </c>
      <c r="I4" s="3">
        <f>ConsolidatedMHrequirementDec25!G4</f>
        <v/>
      </c>
      <c r="J4" s="41">
        <f>VLOOKUP(A4,ConsolidatedMHrequirementDec25!$A$4:$K$53,8,FALSE)</f>
        <v/>
      </c>
      <c r="K4" s="3" t="n">
        <v>32</v>
      </c>
      <c r="L4" s="3">
        <f>J4-K4</f>
        <v/>
      </c>
      <c r="M4" s="69">
        <f>ConsolidatedMHrequirementDec25!I4</f>
        <v/>
      </c>
    </row>
    <row r="5">
      <c r="A5" s="71" t="n">
        <v>6979</v>
      </c>
      <c r="B5" s="3">
        <f>ConsolidatedMHrequirementDec25!B5</f>
        <v/>
      </c>
      <c r="C5" s="3" t="n"/>
      <c r="D5" s="3" t="n"/>
      <c r="E5" s="3" t="n"/>
      <c r="F5" s="41">
        <f>VLOOKUP(A5,ConsolidatedMHrequirementDec25!$A$4:$K$53,4,FALSE)</f>
        <v/>
      </c>
      <c r="G5" s="3">
        <f>ConsolidatedMHrequirementDec25!F5</f>
        <v/>
      </c>
      <c r="H5" s="3">
        <f>ConsolidatedMHrequirementDec25!E5</f>
        <v/>
      </c>
      <c r="I5" s="3">
        <f>ConsolidatedMHrequirementDec25!G5</f>
        <v/>
      </c>
      <c r="J5" s="41">
        <f>VLOOKUP(A5,ConsolidatedMHrequirementDec25!$A$4:$K$53,8,FALSE)</f>
        <v/>
      </c>
      <c r="K5" s="3" t="n">
        <v>0</v>
      </c>
      <c r="L5" s="3">
        <f>J5-K5</f>
        <v/>
      </c>
      <c r="M5" s="69">
        <f>ConsolidatedMHrequirementDec25!I5</f>
        <v/>
      </c>
      <c r="N5" s="69" t="n"/>
      <c r="O5" s="69" t="n"/>
      <c r="P5" s="69" t="n"/>
      <c r="Q5" s="69" t="n"/>
      <c r="R5" s="69" t="n"/>
      <c r="S5" s="69" t="n"/>
      <c r="T5" s="69" t="n"/>
    </row>
    <row r="6" ht="14.5" customFormat="1" customHeight="1" s="34">
      <c r="A6" s="71" t="n">
        <v>7716</v>
      </c>
      <c r="B6" s="3">
        <f>ConsolidatedMHrequirementDec25!B6</f>
        <v/>
      </c>
      <c r="C6" s="3" t="n"/>
      <c r="D6" s="3" t="n"/>
      <c r="E6" s="3" t="n"/>
      <c r="F6" s="41">
        <f>VLOOKUP(A6,ConsolidatedMHrequirementDec25!$A$4:$K$53,4,FALSE)</f>
        <v/>
      </c>
      <c r="G6" s="3">
        <f>ConsolidatedMHrequirementDec25!F6</f>
        <v/>
      </c>
      <c r="H6" s="3">
        <f>ConsolidatedMHrequirementDec25!E6</f>
        <v/>
      </c>
      <c r="I6" s="3">
        <f>ConsolidatedMHrequirementDec25!G6</f>
        <v/>
      </c>
      <c r="J6" s="41">
        <f>VLOOKUP(A6,ConsolidatedMHrequirementDec25!$A$4:$K$53,8,FALSE)</f>
        <v/>
      </c>
      <c r="K6" s="3" t="n">
        <v>0</v>
      </c>
      <c r="L6" s="3">
        <f>J6-K6</f>
        <v/>
      </c>
      <c r="M6" s="69">
        <f>ConsolidatedMHrequirementDec25!I6</f>
        <v/>
      </c>
      <c r="N6" s="69" t="n"/>
      <c r="O6" s="69" t="n"/>
      <c r="P6" s="69" t="n"/>
      <c r="Q6" s="69" t="n"/>
      <c r="R6" s="69" t="n"/>
      <c r="S6" s="69" t="n"/>
      <c r="T6" s="69" t="n"/>
    </row>
    <row r="7" ht="14.5" customFormat="1" customHeight="1" s="34">
      <c r="A7" s="71" t="n">
        <v>8518</v>
      </c>
      <c r="B7" s="3">
        <f>ConsolidatedMHrequirementDec25!B7</f>
        <v/>
      </c>
      <c r="C7" s="3" t="n"/>
      <c r="D7" s="3" t="n"/>
      <c r="E7" s="3" t="n"/>
      <c r="F7" s="41">
        <f>VLOOKUP(A7,ConsolidatedMHrequirementDec25!$A$4:$K$53,4,FALSE)</f>
        <v/>
      </c>
      <c r="G7" s="3">
        <f>ConsolidatedMHrequirementDec25!F7</f>
        <v/>
      </c>
      <c r="H7" s="3">
        <f>ConsolidatedMHrequirementDec25!E7</f>
        <v/>
      </c>
      <c r="I7" s="3">
        <f>ConsolidatedMHrequirementDec25!G7</f>
        <v/>
      </c>
      <c r="J7" s="41">
        <f>VLOOKUP(A7,ConsolidatedMHrequirementDec25!$A$4:$K$53,8,FALSE)</f>
        <v/>
      </c>
      <c r="K7" s="3" t="n">
        <v>0</v>
      </c>
      <c r="L7" s="3">
        <f>J7-K7</f>
        <v/>
      </c>
      <c r="M7" s="69">
        <f>ConsolidatedMHrequirementDec25!I7</f>
        <v/>
      </c>
      <c r="N7" s="69" t="n"/>
      <c r="O7" s="69" t="n"/>
      <c r="P7" s="69" t="n"/>
      <c r="Q7" s="69" t="n"/>
      <c r="R7" s="69" t="n"/>
      <c r="S7" s="69" t="n"/>
      <c r="T7" s="69" t="n"/>
    </row>
    <row r="8" ht="14.5" customFormat="1" customHeight="1" s="34">
      <c r="A8" s="71" t="n">
        <v>8590</v>
      </c>
      <c r="B8" s="3">
        <f>ConsolidatedMHrequirementDec25!B8</f>
        <v/>
      </c>
      <c r="C8" s="3" t="n"/>
      <c r="D8" s="3" t="n"/>
      <c r="E8" s="3" t="n"/>
      <c r="F8" s="41">
        <f>VLOOKUP(A8,ConsolidatedMHrequirementDec25!$A$4:$K$53,4,FALSE)</f>
        <v/>
      </c>
      <c r="G8" s="3">
        <f>ConsolidatedMHrequirementDec25!F8</f>
        <v/>
      </c>
      <c r="H8" s="3">
        <f>ConsolidatedMHrequirementDec25!E8</f>
        <v/>
      </c>
      <c r="I8" s="3">
        <f>ConsolidatedMHrequirementDec25!G8</f>
        <v/>
      </c>
      <c r="J8" s="41">
        <f>VLOOKUP(A8,ConsolidatedMHrequirementDec25!$A$4:$K$53,8,FALSE)</f>
        <v/>
      </c>
      <c r="K8" s="3" t="n">
        <v>0</v>
      </c>
      <c r="L8" s="3">
        <f>J8-K8</f>
        <v/>
      </c>
      <c r="M8" s="69">
        <f>ConsolidatedMHrequirementDec25!I8</f>
        <v/>
      </c>
      <c r="N8" s="69" t="n"/>
      <c r="O8" s="69" t="n"/>
      <c r="P8" s="69" t="n"/>
      <c r="Q8" s="69" t="n"/>
      <c r="R8" s="69" t="n"/>
      <c r="S8" s="69" t="n"/>
      <c r="T8" s="69" t="n"/>
    </row>
    <row r="9" customFormat="1" s="34">
      <c r="A9" s="10" t="inlineStr">
        <is>
          <t>B016</t>
        </is>
      </c>
      <c r="B9" s="3">
        <f>ConsolidatedMHrequirementDec25!B9</f>
        <v/>
      </c>
      <c r="C9" s="3" t="n"/>
      <c r="D9" s="3" t="n"/>
      <c r="E9" s="3" t="n"/>
      <c r="F9" s="41">
        <f>VLOOKUP(A9,ConsolidatedMHrequirementDec25!$A$4:$K$53,4,FALSE)</f>
        <v/>
      </c>
      <c r="G9" s="3">
        <f>ConsolidatedMHrequirementDec25!F9</f>
        <v/>
      </c>
      <c r="H9" s="3">
        <f>ConsolidatedMHrequirementDec25!E9</f>
        <v/>
      </c>
      <c r="I9" s="3">
        <f>ConsolidatedMHrequirementDec25!G9</f>
        <v/>
      </c>
      <c r="J9" s="41">
        <f>VLOOKUP(A9,ConsolidatedMHrequirementDec25!$A$4:$K$53,8,FALSE)</f>
        <v/>
      </c>
      <c r="K9" s="3" t="n">
        <v>0</v>
      </c>
      <c r="L9" s="3">
        <f>J9-K9</f>
        <v/>
      </c>
      <c r="M9" s="69">
        <f>ConsolidatedMHrequirementDec25!I9</f>
        <v/>
      </c>
      <c r="N9" s="69" t="n"/>
      <c r="O9" s="69" t="n"/>
      <c r="P9" s="69" t="n"/>
      <c r="Q9" s="69" t="n"/>
      <c r="R9" s="69" t="n"/>
      <c r="S9" s="69" t="n"/>
      <c r="T9" s="69" t="n"/>
    </row>
    <row r="10" ht="15" customFormat="1" customHeight="1" s="34">
      <c r="A10" s="10" t="inlineStr">
        <is>
          <t>B035</t>
        </is>
      </c>
      <c r="B10" s="3">
        <f>ConsolidatedMHrequirementDec25!B10</f>
        <v/>
      </c>
      <c r="C10" s="3" t="n"/>
      <c r="D10" s="3" t="n"/>
      <c r="E10" s="3" t="n"/>
      <c r="F10" s="41">
        <f>VLOOKUP(A10,ConsolidatedMHrequirementDec25!$A$4:$K$53,4,FALSE)</f>
        <v/>
      </c>
      <c r="G10" s="3">
        <f>ConsolidatedMHrequirementDec25!F10</f>
        <v/>
      </c>
      <c r="H10" s="3">
        <f>ConsolidatedMHrequirementDec25!E10</f>
        <v/>
      </c>
      <c r="I10" s="3">
        <f>ConsolidatedMHrequirementDec25!G10</f>
        <v/>
      </c>
      <c r="J10" s="41">
        <f>VLOOKUP(A10,ConsolidatedMHrequirementDec25!$A$4:$K$53,8,FALSE)</f>
        <v/>
      </c>
      <c r="K10" s="3" t="n">
        <v>0</v>
      </c>
      <c r="L10" s="3">
        <f>J10-K10</f>
        <v/>
      </c>
      <c r="M10" s="69">
        <f>ConsolidatedMHrequirementDec25!I10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t="16.5" customFormat="1" customHeight="1" s="34">
      <c r="A11" s="10" t="inlineStr">
        <is>
          <t>B038</t>
        </is>
      </c>
      <c r="B11" s="3">
        <f>ConsolidatedMHrequirementDec25!B11</f>
        <v/>
      </c>
      <c r="C11" s="3" t="n"/>
      <c r="D11" s="3" t="n"/>
      <c r="E11" s="3" t="n"/>
      <c r="F11" s="41">
        <f>VLOOKUP(A11,ConsolidatedMHrequirementDec25!$A$4:$K$53,4,FALSE)</f>
        <v/>
      </c>
      <c r="G11" s="3">
        <f>ConsolidatedMHrequirementDec25!F11</f>
        <v/>
      </c>
      <c r="H11" s="3">
        <f>ConsolidatedMHrequirementDec25!E11</f>
        <v/>
      </c>
      <c r="I11" s="3">
        <f>ConsolidatedMHrequirementDec25!G11</f>
        <v/>
      </c>
      <c r="J11" s="41">
        <f>VLOOKUP(A11,ConsolidatedMHrequirementDec25!$A$4:$K$53,8,FALSE)</f>
        <v/>
      </c>
      <c r="K11" s="3" t="n">
        <v>0</v>
      </c>
      <c r="L11" s="3">
        <f>J11-K11</f>
        <v/>
      </c>
      <c r="M11" s="69">
        <f>ConsolidatedMHrequirementDec25!I11</f>
        <v/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customFormat="1" s="34">
      <c r="A12" s="10" t="inlineStr">
        <is>
          <t>B058</t>
        </is>
      </c>
      <c r="B12" s="3">
        <f>ConsolidatedMHrequirementDec25!B12</f>
        <v/>
      </c>
      <c r="C12" s="3" t="n"/>
      <c r="D12" s="3" t="n"/>
      <c r="E12" s="3" t="n"/>
      <c r="F12" s="41">
        <f>VLOOKUP(A12,ConsolidatedMHrequirementDec25!$A$4:$K$53,4,FALSE)</f>
        <v/>
      </c>
      <c r="G12" s="3">
        <f>ConsolidatedMHrequirementDec25!F12</f>
        <v/>
      </c>
      <c r="H12" s="3">
        <f>ConsolidatedMHrequirementDec25!E12</f>
        <v/>
      </c>
      <c r="I12" s="3">
        <f>ConsolidatedMHrequirementDec25!G12</f>
        <v/>
      </c>
      <c r="J12" s="41">
        <f>VLOOKUP(A12,ConsolidatedMHrequirementDec25!$A$4:$K$53,8,FALSE)</f>
        <v/>
      </c>
      <c r="K12" s="3" t="n">
        <v>0</v>
      </c>
      <c r="L12" s="3">
        <f>J12-K12</f>
        <v/>
      </c>
      <c r="M12" s="69">
        <f>ConsolidatedMHrequirementDec25!I12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ConsolidatedMHrequirementDec25!B13</f>
        <v/>
      </c>
      <c r="C13" s="3" t="n"/>
      <c r="D13" s="3" t="n"/>
      <c r="E13" s="3" t="n"/>
      <c r="F13" s="41">
        <f>VLOOKUP(A13,ConsolidatedMHrequirementDec25!$A$4:$K$53,4,FALSE)</f>
        <v/>
      </c>
      <c r="G13" s="3">
        <f>ConsolidatedMHrequirementDec25!F13</f>
        <v/>
      </c>
      <c r="H13" s="3">
        <f>ConsolidatedMHrequirementDec25!E13</f>
        <v/>
      </c>
      <c r="I13" s="3">
        <f>ConsolidatedMHrequirementDec25!G13</f>
        <v/>
      </c>
      <c r="J13" s="41">
        <f>VLOOKUP(A13,ConsolidatedMHrequirementDec25!$A$4:$K$53,8,FALSE)</f>
        <v/>
      </c>
      <c r="K13" s="3" t="n">
        <v>175</v>
      </c>
      <c r="L13" s="3">
        <f>J13-K13</f>
        <v/>
      </c>
      <c r="M13" s="69">
        <f>ConsolidatedMHrequirementDec25!I13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customFormat="1" s="34">
      <c r="A14" s="10" t="inlineStr">
        <is>
          <t>B229</t>
        </is>
      </c>
      <c r="B14" s="3">
        <f>ConsolidatedMHrequirementDec25!B14</f>
        <v/>
      </c>
      <c r="C14" s="3" t="n"/>
      <c r="D14" s="3" t="n"/>
      <c r="E14" s="3" t="n"/>
      <c r="F14" s="41">
        <f>VLOOKUP(A14,ConsolidatedMHrequirementDec25!$A$4:$K$53,4,FALSE)</f>
        <v/>
      </c>
      <c r="G14" s="3">
        <f>ConsolidatedMHrequirementDec25!F14</f>
        <v/>
      </c>
      <c r="H14" s="3">
        <f>ConsolidatedMHrequirementDec25!E14</f>
        <v/>
      </c>
      <c r="I14" s="3">
        <f>ConsolidatedMHrequirementDec25!G14</f>
        <v/>
      </c>
      <c r="J14" s="41">
        <f>VLOOKUP(A14,ConsolidatedMHrequirementDec25!$A$4:$K$53,8,FALSE)</f>
        <v/>
      </c>
      <c r="K14" s="3" t="n">
        <v>0</v>
      </c>
      <c r="L14" s="3">
        <f>J14-K14</f>
        <v/>
      </c>
      <c r="M14" s="69">
        <f>ConsolidatedMHrequirementDec25!I14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ConsolidatedMHrequirementDec25!B15</f>
        <v/>
      </c>
      <c r="C15" s="3" t="n"/>
      <c r="D15" s="3" t="n"/>
      <c r="E15" s="3" t="n"/>
      <c r="F15" s="41">
        <f>VLOOKUP(A15,ConsolidatedMHrequirementDec25!$A$4:$K$53,4,FALSE)</f>
        <v/>
      </c>
      <c r="G15" s="3">
        <f>ConsolidatedMHrequirementDec25!F15</f>
        <v/>
      </c>
      <c r="H15" s="3">
        <f>ConsolidatedMHrequirementDec25!E15</f>
        <v/>
      </c>
      <c r="I15" s="3">
        <f>ConsolidatedMHrequirementDec25!G15</f>
        <v/>
      </c>
      <c r="J15" s="41">
        <f>VLOOKUP(A15,ConsolidatedMHrequirementDec25!$A$4:$K$53,8,FALSE)</f>
        <v/>
      </c>
      <c r="K15" s="3" t="n">
        <v>24</v>
      </c>
      <c r="L15" s="3">
        <f>J15-K15</f>
        <v/>
      </c>
      <c r="M15" s="69">
        <f>ConsolidatedMHrequirementDec25!I15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customFormat="1" s="34">
      <c r="A16" s="10" t="inlineStr">
        <is>
          <t>B285</t>
        </is>
      </c>
      <c r="B16" s="3">
        <f>ConsolidatedMHrequirementDec25!B16</f>
        <v/>
      </c>
      <c r="C16" s="3" t="n"/>
      <c r="D16" s="3" t="n"/>
      <c r="E16" s="3" t="n"/>
      <c r="F16" s="41">
        <f>VLOOKUP(A16,ConsolidatedMHrequirementDec25!$A$4:$K$53,4,FALSE)</f>
        <v/>
      </c>
      <c r="G16" s="3">
        <f>ConsolidatedMHrequirementDec25!F16</f>
        <v/>
      </c>
      <c r="H16" s="3">
        <f>ConsolidatedMHrequirementDec25!E16</f>
        <v/>
      </c>
      <c r="I16" s="3">
        <f>ConsolidatedMHrequirementDec25!G16</f>
        <v/>
      </c>
      <c r="J16" s="41">
        <f>VLOOKUP(A16,ConsolidatedMHrequirementDec25!$A$4:$K$53,8,FALSE)</f>
        <v/>
      </c>
      <c r="K16" s="3" t="n">
        <v>0</v>
      </c>
      <c r="L16" s="3">
        <f>J16-K16</f>
        <v/>
      </c>
      <c r="M16" s="69">
        <f>ConsolidatedMHrequirementDec25!I16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ConsolidatedMHrequirementDec25!B17</f>
        <v/>
      </c>
      <c r="C17" s="3" t="n"/>
      <c r="D17" s="3" t="n"/>
      <c r="E17" s="3" t="n"/>
      <c r="F17" s="41">
        <f>VLOOKUP(A17,ConsolidatedMHrequirementDec25!$A$4:$K$53,4,FALSE)</f>
        <v/>
      </c>
      <c r="G17" s="3">
        <f>ConsolidatedMHrequirementDec25!F17</f>
        <v/>
      </c>
      <c r="H17" s="3">
        <f>ConsolidatedMHrequirementDec25!E17</f>
        <v/>
      </c>
      <c r="I17" s="3">
        <f>ConsolidatedMHrequirementDec25!G17</f>
        <v/>
      </c>
      <c r="J17" s="41">
        <f>VLOOKUP(A17,ConsolidatedMHrequirementDec25!$A$4:$K$53,8,FALSE)</f>
        <v/>
      </c>
      <c r="K17" s="3" t="n">
        <v>0</v>
      </c>
      <c r="L17" s="3">
        <f>J17-K17</f>
        <v/>
      </c>
      <c r="M17" s="69">
        <f>ConsolidatedMHrequirementDec25!I17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ConsolidatedMHrequirementDec25!B18</f>
        <v/>
      </c>
      <c r="C18" s="3" t="n"/>
      <c r="D18" s="3" t="n"/>
      <c r="E18" s="3" t="n"/>
      <c r="F18" s="41">
        <f>VLOOKUP(A18,ConsolidatedMHrequirementDec25!$A$4:$K$53,4,FALSE)</f>
        <v/>
      </c>
      <c r="G18" s="3">
        <f>ConsolidatedMHrequirementDec25!F18</f>
        <v/>
      </c>
      <c r="H18" s="3">
        <f>ConsolidatedMHrequirementDec25!E18</f>
        <v/>
      </c>
      <c r="I18" s="3">
        <f>ConsolidatedMHrequirementDec25!G18</f>
        <v/>
      </c>
      <c r="J18" s="41">
        <f>VLOOKUP(A18,ConsolidatedMHrequirementDec25!$A$4:$K$53,8,FALSE)</f>
        <v/>
      </c>
      <c r="K18" s="3" t="n">
        <v>0</v>
      </c>
      <c r="L18" s="3">
        <f>J18-K18</f>
        <v/>
      </c>
      <c r="M18" s="69">
        <f>ConsolidatedMHrequirementDec25!I18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t="15" customFormat="1" customHeight="1" s="34">
      <c r="A19" s="10" t="inlineStr">
        <is>
          <t>B348</t>
        </is>
      </c>
      <c r="B19" s="3">
        <f>ConsolidatedMHrequirementDec25!B19</f>
        <v/>
      </c>
      <c r="C19" s="3" t="n"/>
      <c r="D19" s="3" t="n"/>
      <c r="E19" s="3" t="n"/>
      <c r="F19" s="41">
        <f>VLOOKUP(A19,ConsolidatedMHrequirementDec25!$A$4:$K$53,4,FALSE)</f>
        <v/>
      </c>
      <c r="G19" s="3">
        <f>ConsolidatedMHrequirementDec25!F19</f>
        <v/>
      </c>
      <c r="H19" s="3">
        <f>ConsolidatedMHrequirementDec25!E19</f>
        <v/>
      </c>
      <c r="I19" s="3">
        <f>ConsolidatedMHrequirementDec25!G19</f>
        <v/>
      </c>
      <c r="J19" s="41">
        <f>VLOOKUP(A19,ConsolidatedMHrequirementDec25!$A$4:$K$53,8,FALSE)</f>
        <v/>
      </c>
      <c r="K19" s="3" t="n">
        <v>0</v>
      </c>
      <c r="L19" s="3">
        <f>J19-K19</f>
        <v/>
      </c>
      <c r="M19" s="69">
        <f>ConsolidatedMHrequirementDec25!I19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t="15.5" customFormat="1" customHeight="1" s="34">
      <c r="A20" s="10" t="inlineStr">
        <is>
          <t>B359</t>
        </is>
      </c>
      <c r="B20" s="3">
        <f>ConsolidatedMHrequirementDec25!B20</f>
        <v/>
      </c>
      <c r="C20" s="3" t="n"/>
      <c r="D20" s="3" t="n"/>
      <c r="E20" s="3" t="n"/>
      <c r="F20" s="41">
        <f>VLOOKUP(A20,ConsolidatedMHrequirementDec25!$A$4:$K$53,4,FALSE)</f>
        <v/>
      </c>
      <c r="G20" s="3">
        <f>ConsolidatedMHrequirementDec25!F20</f>
        <v/>
      </c>
      <c r="H20" s="3">
        <f>ConsolidatedMHrequirementDec25!E20</f>
        <v/>
      </c>
      <c r="I20" s="3">
        <f>ConsolidatedMHrequirementDec25!G20</f>
        <v/>
      </c>
      <c r="J20" s="41">
        <f>VLOOKUP(A20,ConsolidatedMHrequirementDec25!$A$4:$K$53,8,FALSE)</f>
        <v/>
      </c>
      <c r="K20" s="3" t="n">
        <v>0</v>
      </c>
      <c r="L20" s="3">
        <f>J20-K20</f>
        <v/>
      </c>
      <c r="M20" s="69">
        <f>ConsolidatedMHrequirementDec25!I20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t="15" customFormat="1" customHeight="1" s="34">
      <c r="A21" s="10" t="inlineStr">
        <is>
          <t>B378</t>
        </is>
      </c>
      <c r="B21" s="3">
        <f>ConsolidatedMHrequirementDec25!B21</f>
        <v/>
      </c>
      <c r="C21" s="3" t="n"/>
      <c r="D21" s="3" t="n"/>
      <c r="E21" s="3" t="n"/>
      <c r="F21" s="41">
        <f>VLOOKUP(A21,ConsolidatedMHrequirementDec25!$A$4:$K$53,4,FALSE)</f>
        <v/>
      </c>
      <c r="G21" s="3">
        <f>ConsolidatedMHrequirementDec25!F21</f>
        <v/>
      </c>
      <c r="H21" s="3">
        <f>ConsolidatedMHrequirementDec25!E21</f>
        <v/>
      </c>
      <c r="I21" s="3">
        <f>ConsolidatedMHrequirementDec25!G21</f>
        <v/>
      </c>
      <c r="J21" s="41">
        <f>VLOOKUP(A21,ConsolidatedMHrequirementDec25!$A$4:$K$53,8,FALSE)</f>
        <v/>
      </c>
      <c r="K21" s="3" t="n">
        <v>88</v>
      </c>
      <c r="L21" s="3">
        <f>J21-K21</f>
        <v/>
      </c>
      <c r="M21" s="69">
        <f>ConsolidatedMHrequirementDec25!I21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B398</t>
        </is>
      </c>
      <c r="B22" s="3">
        <f>ConsolidatedMHrequirementDec25!B22</f>
        <v/>
      </c>
      <c r="C22" s="3" t="n"/>
      <c r="D22" s="3" t="n"/>
      <c r="E22" s="3" t="n"/>
      <c r="F22" s="41">
        <f>VLOOKUP(A22,ConsolidatedMHrequirementDec25!$A$4:$K$53,4,FALSE)</f>
        <v/>
      </c>
      <c r="G22" s="3">
        <f>ConsolidatedMHrequirementDec25!F22</f>
        <v/>
      </c>
      <c r="H22" s="3">
        <f>ConsolidatedMHrequirementDec25!E22</f>
        <v/>
      </c>
      <c r="I22" s="3">
        <f>ConsolidatedMHrequirementDec25!G22</f>
        <v/>
      </c>
      <c r="J22" s="41">
        <f>VLOOKUP(A22,ConsolidatedMHrequirementDec25!$A$4:$K$53,8,FALSE)</f>
        <v/>
      </c>
      <c r="K22" s="3" t="n">
        <v>4</v>
      </c>
      <c r="L22" s="3">
        <f>J22-K22</f>
        <v/>
      </c>
      <c r="M22" s="69">
        <f>ConsolidatedMHrequirementDec25!I22</f>
        <v/>
      </c>
      <c r="N22" s="69" t="n"/>
      <c r="O22" s="69" t="n"/>
      <c r="P22" s="69" t="n"/>
      <c r="Q22" s="69" t="n"/>
      <c r="R22" s="69" t="n"/>
      <c r="S22" s="69" t="n"/>
      <c r="T22" s="69" t="n"/>
    </row>
    <row r="23" ht="15" customFormat="1" customHeight="1" s="34">
      <c r="A23" s="10" t="inlineStr">
        <is>
          <t>B414</t>
        </is>
      </c>
      <c r="B23" s="3">
        <f>ConsolidatedMHrequirementDec25!B23</f>
        <v/>
      </c>
      <c r="C23" s="3" t="n"/>
      <c r="D23" s="3" t="n"/>
      <c r="E23" s="3" t="n"/>
      <c r="F23" s="41">
        <f>VLOOKUP(A23,ConsolidatedMHrequirementDec25!$A$4:$K$53,4,FALSE)</f>
        <v/>
      </c>
      <c r="G23" s="3">
        <f>ConsolidatedMHrequirementDec25!F23</f>
        <v/>
      </c>
      <c r="H23" s="3">
        <f>ConsolidatedMHrequirementDec25!E23</f>
        <v/>
      </c>
      <c r="I23" s="3">
        <f>ConsolidatedMHrequirementDec25!G23</f>
        <v/>
      </c>
      <c r="J23" s="41">
        <f>VLOOKUP(A23,ConsolidatedMHrequirementDec25!$A$4:$K$53,8,FALSE)</f>
        <v/>
      </c>
      <c r="K23" s="3" t="n">
        <v>0</v>
      </c>
      <c r="L23" s="3">
        <f>J23-K23</f>
        <v/>
      </c>
      <c r="M23" s="69">
        <f>ConsolidatedMHrequirementDec25!I23</f>
        <v/>
      </c>
      <c r="N23" s="69" t="n"/>
      <c r="O23" s="69" t="n"/>
      <c r="P23" s="69" t="n"/>
      <c r="Q23" s="69" t="n"/>
      <c r="R23" s="69" t="n"/>
      <c r="S23" s="69" t="n"/>
      <c r="T23" s="69" t="n"/>
      <c r="V23" s="48" t="n"/>
      <c r="W23" s="48" t="n"/>
      <c r="X23" s="48" t="n"/>
      <c r="Y23" s="48" t="n"/>
    </row>
    <row r="24" ht="15" customFormat="1" customHeight="1" s="34">
      <c r="A24" s="10" t="inlineStr">
        <is>
          <t>B436</t>
        </is>
      </c>
      <c r="B24" s="3">
        <f>ConsolidatedMHrequirementDec25!B24</f>
        <v/>
      </c>
      <c r="C24" s="3" t="n"/>
      <c r="D24" s="3" t="n"/>
      <c r="E24" s="3" t="n"/>
      <c r="F24" s="41">
        <f>VLOOKUP(A24,ConsolidatedMHrequirementDec25!$A$4:$K$53,4,FALSE)</f>
        <v/>
      </c>
      <c r="G24" s="3">
        <f>ConsolidatedMHrequirementDec25!F24</f>
        <v/>
      </c>
      <c r="H24" s="3">
        <f>ConsolidatedMHrequirementDec25!E24</f>
        <v/>
      </c>
      <c r="I24" s="3">
        <f>ConsolidatedMHrequirementDec25!G24</f>
        <v/>
      </c>
      <c r="J24" s="41">
        <f>VLOOKUP(A24,ConsolidatedMHrequirementDec25!$A$4:$K$53,8,FALSE)</f>
        <v/>
      </c>
      <c r="K24" s="3" t="n">
        <v>0</v>
      </c>
      <c r="L24" s="3">
        <f>J24-K24</f>
        <v/>
      </c>
      <c r="M24" s="69">
        <f>ConsolidatedMHrequirementDec25!I24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t="15" customFormat="1" customHeight="1" s="34">
      <c r="A25" s="10" t="inlineStr">
        <is>
          <t>B440</t>
        </is>
      </c>
      <c r="B25" s="3">
        <f>ConsolidatedMHrequirementDec25!B25</f>
        <v/>
      </c>
      <c r="C25" s="3" t="n"/>
      <c r="D25" s="3" t="n"/>
      <c r="E25" s="3" t="n"/>
      <c r="F25" s="41">
        <f>VLOOKUP(A25,ConsolidatedMHrequirementDec25!$A$4:$K$53,4,FALSE)</f>
        <v/>
      </c>
      <c r="G25" s="3">
        <f>ConsolidatedMHrequirementDec25!F25</f>
        <v/>
      </c>
      <c r="H25" s="3">
        <f>ConsolidatedMHrequirementDec25!E25</f>
        <v/>
      </c>
      <c r="I25" s="3">
        <f>ConsolidatedMHrequirementDec25!G25</f>
        <v/>
      </c>
      <c r="J25" s="41">
        <f>VLOOKUP(A25,ConsolidatedMHrequirementDec25!$A$4:$K$53,8,FALSE)</f>
        <v/>
      </c>
      <c r="K25" s="3" t="n">
        <v>0</v>
      </c>
      <c r="L25" s="3">
        <f>J25-K25</f>
        <v/>
      </c>
      <c r="M25" s="69">
        <f>ConsolidatedMHrequirementDec25!I25</f>
        <v/>
      </c>
      <c r="N25" s="69" t="n"/>
      <c r="O25" s="69" t="n"/>
      <c r="P25" s="69" t="n"/>
      <c r="Q25" s="69" t="n"/>
      <c r="R25" s="69" t="n"/>
      <c r="S25" s="69" t="n"/>
      <c r="T25" s="69" t="n"/>
      <c r="V25" s="48" t="n"/>
      <c r="W25" s="48" t="n"/>
      <c r="X25" s="48" t="n"/>
      <c r="Y25" s="48" t="n"/>
    </row>
    <row r="26" ht="15" customFormat="1" customHeight="1" s="34">
      <c r="A26" s="10" t="inlineStr">
        <is>
          <t>B448</t>
        </is>
      </c>
      <c r="B26" s="3">
        <f>ConsolidatedMHrequirementDec25!B26</f>
        <v/>
      </c>
      <c r="C26" s="3" t="n"/>
      <c r="D26" s="3" t="n"/>
      <c r="E26" s="3" t="n"/>
      <c r="F26" s="41">
        <f>VLOOKUP(A26,ConsolidatedMHrequirementDec25!$A$4:$K$53,4,FALSE)</f>
        <v/>
      </c>
      <c r="G26" s="3">
        <f>ConsolidatedMHrequirementDec25!F26</f>
        <v/>
      </c>
      <c r="H26" s="3">
        <f>ConsolidatedMHrequirementDec25!E26</f>
        <v/>
      </c>
      <c r="I26" s="3">
        <f>ConsolidatedMHrequirementDec25!G26</f>
        <v/>
      </c>
      <c r="J26" s="41">
        <f>VLOOKUP(A26,ConsolidatedMHrequirementDec25!$A$4:$K$53,8,FALSE)</f>
        <v/>
      </c>
      <c r="K26" s="3" t="n">
        <v>0</v>
      </c>
      <c r="L26" s="3">
        <f>J26-K26</f>
        <v/>
      </c>
      <c r="M26" s="69">
        <f>ConsolidatedMHrequirementDec25!I26</f>
        <v/>
      </c>
      <c r="N26" s="69" t="n"/>
      <c r="O26" s="69" t="n"/>
      <c r="P26" s="69" t="n"/>
      <c r="Q26" s="69" t="n"/>
      <c r="R26" s="69" t="n"/>
      <c r="S26" s="69" t="n"/>
      <c r="T26" s="69" t="n"/>
      <c r="V26" s="34" t="inlineStr">
        <is>
          <t xml:space="preserve"> </t>
        </is>
      </c>
      <c r="W26" s="34" t="inlineStr">
        <is>
          <t xml:space="preserve"> </t>
        </is>
      </c>
      <c r="X26" s="34" t="inlineStr">
        <is>
          <t xml:space="preserve"> </t>
        </is>
      </c>
      <c r="Y26" s="34" t="inlineStr">
        <is>
          <t xml:space="preserve"> </t>
        </is>
      </c>
    </row>
    <row r="27" ht="15" customFormat="1" customHeight="1" s="34">
      <c r="A27" s="10" t="inlineStr">
        <is>
          <t>B519</t>
        </is>
      </c>
      <c r="B27" s="3">
        <f>ConsolidatedMHrequirementDec25!B27</f>
        <v/>
      </c>
      <c r="C27" s="3" t="n"/>
      <c r="D27" s="3" t="n"/>
      <c r="E27" s="3" t="n"/>
      <c r="F27" s="41">
        <f>VLOOKUP(A27,ConsolidatedMHrequirementDec25!$A$4:$K$53,4,FALSE)</f>
        <v/>
      </c>
      <c r="G27" s="3">
        <f>ConsolidatedMHrequirementDec25!F27</f>
        <v/>
      </c>
      <c r="H27" s="3">
        <f>ConsolidatedMHrequirementDec25!E27</f>
        <v/>
      </c>
      <c r="I27" s="3">
        <f>ConsolidatedMHrequirementDec25!G27</f>
        <v/>
      </c>
      <c r="J27" s="41">
        <f>VLOOKUP(A27,ConsolidatedMHrequirementDec25!$A$4:$K$53,8,FALSE)</f>
        <v/>
      </c>
      <c r="K27" s="3" t="n">
        <v>0</v>
      </c>
      <c r="L27" s="3">
        <f>J27-K27</f>
        <v/>
      </c>
      <c r="M27" s="69">
        <f>ConsolidatedMHrequirementDec25!I27</f>
        <v/>
      </c>
      <c r="N27" s="69" t="n"/>
      <c r="O27" s="69" t="n"/>
      <c r="P27" s="69" t="n"/>
      <c r="Q27" s="69" t="n"/>
      <c r="R27" s="69" t="n"/>
      <c r="S27" s="69" t="n"/>
      <c r="T27" s="69" t="n"/>
      <c r="V27" s="34" t="inlineStr">
        <is>
          <t xml:space="preserve"> </t>
        </is>
      </c>
      <c r="W27" s="34" t="inlineStr">
        <is>
          <t xml:space="preserve"> </t>
        </is>
      </c>
    </row>
    <row r="28">
      <c r="A28" s="10" t="inlineStr">
        <is>
          <t>B548</t>
        </is>
      </c>
      <c r="B28" s="3">
        <f>ConsolidatedMHrequirementDec25!B28</f>
        <v/>
      </c>
      <c r="C28" s="3" t="n"/>
      <c r="D28" s="3" t="n"/>
      <c r="E28" s="3" t="n"/>
      <c r="F28" s="41">
        <f>VLOOKUP(A28,ConsolidatedMHrequirementDec25!$A$4:$K$53,4,FALSE)</f>
        <v/>
      </c>
      <c r="G28" s="3">
        <f>ConsolidatedMHrequirementDec25!F28</f>
        <v/>
      </c>
      <c r="H28" s="3">
        <f>ConsolidatedMHrequirementDec25!E28</f>
        <v/>
      </c>
      <c r="I28" s="3">
        <f>ConsolidatedMHrequirementDec25!G28</f>
        <v/>
      </c>
      <c r="J28" s="41">
        <f>VLOOKUP(A28,ConsolidatedMHrequirementDec25!$A$4:$K$53,8,FALSE)</f>
        <v/>
      </c>
      <c r="K28" s="3" t="n">
        <v>0</v>
      </c>
      <c r="L28" s="3">
        <f>J28-K28</f>
        <v/>
      </c>
      <c r="M28" s="69">
        <f>ConsolidatedMHrequirementDec25!I28</f>
        <v/>
      </c>
      <c r="N28" s="69" t="n"/>
      <c r="O28" s="69" t="n"/>
      <c r="P28" s="69" t="n"/>
      <c r="Q28" s="69" t="n"/>
      <c r="R28" s="69" t="n"/>
      <c r="S28" s="69" t="n"/>
      <c r="T28" s="69" t="n"/>
    </row>
    <row r="29" ht="15" customFormat="1" customHeight="1" s="34">
      <c r="A29" s="10" t="inlineStr">
        <is>
          <t>B559</t>
        </is>
      </c>
      <c r="B29" s="3">
        <f>ConsolidatedMHrequirementDec25!B29</f>
        <v/>
      </c>
      <c r="C29" s="3" t="n"/>
      <c r="D29" s="3" t="n"/>
      <c r="E29" s="3" t="n"/>
      <c r="F29" s="41">
        <f>VLOOKUP(A29,ConsolidatedMHrequirementDec25!$A$4:$K$53,4,FALSE)</f>
        <v/>
      </c>
      <c r="G29" s="3">
        <f>ConsolidatedMHrequirementDec25!F29</f>
        <v/>
      </c>
      <c r="H29" s="3">
        <f>ConsolidatedMHrequirementDec25!E29</f>
        <v/>
      </c>
      <c r="I29" s="3">
        <f>ConsolidatedMHrequirementDec25!G29</f>
        <v/>
      </c>
      <c r="J29" s="41">
        <f>VLOOKUP(A29,ConsolidatedMHrequirementDec25!$A$4:$K$53,8,FALSE)</f>
        <v/>
      </c>
      <c r="K29" s="3" t="n">
        <v>0</v>
      </c>
      <c r="L29" s="3">
        <f>J29-K29</f>
        <v/>
      </c>
      <c r="M29" s="69">
        <f>ConsolidatedMHrequirementDec25!I29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t="15" customFormat="1" customHeight="1" s="34">
      <c r="A30" s="10" t="inlineStr">
        <is>
          <t>B560</t>
        </is>
      </c>
      <c r="B30" s="3">
        <f>ConsolidatedMHrequirementDec25!B30</f>
        <v/>
      </c>
      <c r="C30" s="3" t="n"/>
      <c r="D30" s="3" t="n"/>
      <c r="E30" s="3" t="n"/>
      <c r="F30" s="41">
        <f>VLOOKUP(A30,ConsolidatedMHrequirementDec25!$A$4:$K$53,4,FALSE)</f>
        <v/>
      </c>
      <c r="G30" s="3">
        <f>ConsolidatedMHrequirementDec25!F30</f>
        <v/>
      </c>
      <c r="H30" s="3">
        <f>ConsolidatedMHrequirementDec25!E30</f>
        <v/>
      </c>
      <c r="I30" s="3">
        <f>ConsolidatedMHrequirementDec25!G30</f>
        <v/>
      </c>
      <c r="J30" s="41">
        <f>VLOOKUP(A30,ConsolidatedMHrequirementDec25!$A$4:$K$53,8,FALSE)</f>
        <v/>
      </c>
      <c r="K30" s="3" t="n">
        <v>0</v>
      </c>
      <c r="L30" s="3">
        <f>J30-K30</f>
        <v/>
      </c>
      <c r="M30" s="69">
        <f>ConsolidatedMHrequirementDec25!I30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t="15" customFormat="1" customHeight="1" s="34">
      <c r="A31" s="10" t="inlineStr">
        <is>
          <t>B571</t>
        </is>
      </c>
      <c r="B31" s="3">
        <f>ConsolidatedMHrequirementDec25!B31</f>
        <v/>
      </c>
      <c r="C31" s="3" t="n"/>
      <c r="D31" s="3" t="n"/>
      <c r="E31" s="3" t="n"/>
      <c r="F31" s="41">
        <f>VLOOKUP(A31,ConsolidatedMHrequirementDec25!$A$4:$K$53,4,FALSE)</f>
        <v/>
      </c>
      <c r="G31" s="3">
        <f>ConsolidatedMHrequirementDec25!F31</f>
        <v/>
      </c>
      <c r="H31" s="3">
        <f>ConsolidatedMHrequirementDec25!E31</f>
        <v/>
      </c>
      <c r="I31" s="3">
        <f>ConsolidatedMHrequirementDec25!G31</f>
        <v/>
      </c>
      <c r="J31" s="41">
        <f>VLOOKUP(A31,ConsolidatedMHrequirementDec25!$A$4:$K$53,8,FALSE)</f>
        <v/>
      </c>
      <c r="K31" s="3" t="n">
        <v>24</v>
      </c>
      <c r="L31" s="3">
        <f>J31-K31</f>
        <v/>
      </c>
      <c r="M31" s="69">
        <f>ConsolidatedMHrequirementDec25!I31</f>
        <v/>
      </c>
      <c r="N31" s="69" t="n"/>
      <c r="O31" s="69" t="n"/>
      <c r="P31" s="69" t="n"/>
      <c r="Q31" s="69" t="n"/>
      <c r="R31" s="69" t="n"/>
      <c r="S31" s="69" t="n"/>
      <c r="T31" s="69" t="n"/>
    </row>
    <row r="32">
      <c r="A32" s="10" t="inlineStr">
        <is>
          <t>B589</t>
        </is>
      </c>
      <c r="B32" s="3">
        <f>ConsolidatedMHrequirementDec25!B32</f>
        <v/>
      </c>
      <c r="C32" s="3" t="n"/>
      <c r="D32" s="3" t="n"/>
      <c r="E32" s="3" t="n"/>
      <c r="F32" s="41">
        <f>VLOOKUP(A32,ConsolidatedMHrequirementDec25!$A$4:$K$53,4,FALSE)</f>
        <v/>
      </c>
      <c r="G32" s="3">
        <f>ConsolidatedMHrequirementDec25!F32</f>
        <v/>
      </c>
      <c r="H32" s="3">
        <f>ConsolidatedMHrequirementDec25!E32</f>
        <v/>
      </c>
      <c r="I32" s="3">
        <f>ConsolidatedMHrequirementDec25!G32</f>
        <v/>
      </c>
      <c r="J32" s="41">
        <f>VLOOKUP(A32,ConsolidatedMHrequirementDec25!$A$4:$K$53,8,FALSE)</f>
        <v/>
      </c>
      <c r="K32" s="3" t="n">
        <v>0</v>
      </c>
      <c r="L32" s="3">
        <f>J32-K32</f>
        <v/>
      </c>
      <c r="M32" s="69">
        <f>ConsolidatedMHrequirementDec25!I32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 customFormat="1" s="34">
      <c r="A33" s="10" t="inlineStr">
        <is>
          <t>B650</t>
        </is>
      </c>
      <c r="B33" s="3">
        <f>ConsolidatedMHrequirementDec25!B33</f>
        <v/>
      </c>
      <c r="C33" s="3" t="n"/>
      <c r="D33" s="3" t="n"/>
      <c r="E33" s="3" t="n"/>
      <c r="F33" s="41">
        <f>VLOOKUP(A33,ConsolidatedMHrequirementDec25!$A$4:$K$53,4,FALSE)</f>
        <v/>
      </c>
      <c r="G33" s="3">
        <f>ConsolidatedMHrequirementDec25!F33</f>
        <v/>
      </c>
      <c r="H33" s="3">
        <f>ConsolidatedMHrequirementDec25!E33</f>
        <v/>
      </c>
      <c r="I33" s="3">
        <f>ConsolidatedMHrequirementDec25!G33</f>
        <v/>
      </c>
      <c r="J33" s="41">
        <f>VLOOKUP(A33,ConsolidatedMHrequirementDec25!$A$4:$K$53,8,FALSE)</f>
        <v/>
      </c>
      <c r="K33" s="3" t="n">
        <v>0</v>
      </c>
      <c r="L33" s="3">
        <f>J33-K33</f>
        <v/>
      </c>
      <c r="M33" s="69">
        <f>ConsolidatedMHrequirementDec25!I33</f>
        <v/>
      </c>
      <c r="N33" s="69" t="n"/>
      <c r="O33" s="69" t="n"/>
      <c r="P33" s="69" t="n"/>
      <c r="Q33" s="69" t="n"/>
      <c r="R33" s="69" t="n"/>
      <c r="S33" s="69" t="n"/>
      <c r="T33" s="69" t="n"/>
      <c r="X33" s="34" t="inlineStr">
        <is>
          <t xml:space="preserve"> </t>
        </is>
      </c>
    </row>
    <row r="34" ht="15" customFormat="1" customHeight="1" s="34">
      <c r="A34" s="10" t="inlineStr">
        <is>
          <t>B653</t>
        </is>
      </c>
      <c r="B34" s="3">
        <f>ConsolidatedMHrequirementDec25!B34</f>
        <v/>
      </c>
      <c r="C34" s="3" t="n"/>
      <c r="D34" s="3" t="n"/>
      <c r="E34" s="3" t="n"/>
      <c r="F34" s="41">
        <f>VLOOKUP(A34,ConsolidatedMHrequirementDec25!$A$4:$K$53,4,FALSE)</f>
        <v/>
      </c>
      <c r="G34" s="3">
        <f>ConsolidatedMHrequirementDec25!F34</f>
        <v/>
      </c>
      <c r="H34" s="3">
        <f>ConsolidatedMHrequirementDec25!E34</f>
        <v/>
      </c>
      <c r="I34" s="3">
        <f>ConsolidatedMHrequirementDec25!G34</f>
        <v/>
      </c>
      <c r="J34" s="41">
        <f>VLOOKUP(A34,ConsolidatedMHrequirementDec25!$A$4:$K$53,8,FALSE)</f>
        <v/>
      </c>
      <c r="K34" s="3" t="n">
        <v>0</v>
      </c>
      <c r="L34" s="3">
        <f>J34-K34</f>
        <v/>
      </c>
      <c r="M34" s="69">
        <f>ConsolidatedMHrequirementDec25!I34</f>
        <v/>
      </c>
      <c r="N34" s="69" t="n"/>
      <c r="O34" s="69" t="n"/>
      <c r="P34" s="69" t="n"/>
      <c r="Q34" s="69" t="n"/>
      <c r="R34" s="69" t="n"/>
      <c r="S34" s="69" t="n"/>
      <c r="T34" s="69" t="n"/>
    </row>
    <row r="35" ht="14.5" customFormat="1" customHeight="1" s="34">
      <c r="A35" s="10" t="inlineStr">
        <is>
          <t>B725</t>
        </is>
      </c>
      <c r="B35" s="3">
        <f>ConsolidatedMHrequirementDec25!B35</f>
        <v/>
      </c>
      <c r="C35" s="3" t="n"/>
      <c r="D35" s="3" t="n"/>
      <c r="E35" s="3" t="n"/>
      <c r="F35" s="41">
        <f>VLOOKUP(A35,ConsolidatedMHrequirementDec25!$A$4:$K$53,4,FALSE)</f>
        <v/>
      </c>
      <c r="G35" s="3">
        <f>ConsolidatedMHrequirementDec25!F35</f>
        <v/>
      </c>
      <c r="H35" s="3">
        <f>ConsolidatedMHrequirementDec25!E35</f>
        <v/>
      </c>
      <c r="I35" s="3">
        <f>ConsolidatedMHrequirementDec25!G35</f>
        <v/>
      </c>
      <c r="J35" s="41">
        <f>VLOOKUP(A35,ConsolidatedMHrequirementDec25!$A$4:$K$53,8,FALSE)</f>
        <v/>
      </c>
      <c r="K35" s="3" t="n">
        <v>0</v>
      </c>
      <c r="L35" s="3">
        <f>J35-K35</f>
        <v/>
      </c>
      <c r="M35" s="69">
        <f>ConsolidatedMHrequirementDec25!I35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t="14.5" customFormat="1" customHeight="1" s="34">
      <c r="A36" s="10" t="inlineStr">
        <is>
          <t>B767</t>
        </is>
      </c>
      <c r="B36" s="3">
        <f>ConsolidatedMHrequirementDec25!B36</f>
        <v/>
      </c>
      <c r="C36" s="3" t="n"/>
      <c r="D36" s="3" t="n"/>
      <c r="E36" s="3" t="n"/>
      <c r="F36" s="41">
        <f>VLOOKUP(A36,ConsolidatedMHrequirementDec25!$A$4:$K$53,4,FALSE)</f>
        <v/>
      </c>
      <c r="G36" s="3">
        <f>ConsolidatedMHrequirementDec25!F36</f>
        <v/>
      </c>
      <c r="H36" s="3">
        <f>ConsolidatedMHrequirementDec25!E36</f>
        <v/>
      </c>
      <c r="I36" s="3">
        <f>ConsolidatedMHrequirementDec25!G36</f>
        <v/>
      </c>
      <c r="J36" s="41">
        <f>VLOOKUP(A36,ConsolidatedMHrequirementDec25!$A$4:$K$53,8,FALSE)</f>
        <v/>
      </c>
      <c r="K36" s="3" t="n">
        <v>16</v>
      </c>
      <c r="L36" s="3">
        <f>J36-K36</f>
        <v/>
      </c>
      <c r="M36" s="69">
        <f>ConsolidatedMHrequirementDec25!I36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t="14.5" customFormat="1" customHeight="1" s="34">
      <c r="A37" s="10" t="inlineStr">
        <is>
          <t>B795</t>
        </is>
      </c>
      <c r="B37" s="3">
        <f>ConsolidatedMHrequirementDec25!B37</f>
        <v/>
      </c>
      <c r="C37" s="3" t="n"/>
      <c r="D37" s="3" t="n"/>
      <c r="E37" s="3" t="n"/>
      <c r="F37" s="41">
        <f>VLOOKUP(A37,ConsolidatedMHrequirementDec25!$A$4:$K$53,4,FALSE)</f>
        <v/>
      </c>
      <c r="G37" s="3">
        <f>ConsolidatedMHrequirementDec25!F37</f>
        <v/>
      </c>
      <c r="H37" s="3">
        <f>ConsolidatedMHrequirementDec25!E37</f>
        <v/>
      </c>
      <c r="I37" s="3">
        <f>ConsolidatedMHrequirementDec25!G37</f>
        <v/>
      </c>
      <c r="J37" s="41">
        <f>VLOOKUP(A37,ConsolidatedMHrequirementDec25!$A$4:$K$53,8,FALSE)</f>
        <v/>
      </c>
      <c r="K37" s="3" t="n">
        <v>14</v>
      </c>
      <c r="L37" s="3">
        <f>J37-K37</f>
        <v/>
      </c>
      <c r="M37" s="69">
        <f>ConsolidatedMHrequirementDec25!I37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t="14.5" customFormat="1" customHeight="1" s="34">
      <c r="A38" s="10" t="inlineStr">
        <is>
          <t>B813</t>
        </is>
      </c>
      <c r="B38" s="3">
        <f>ConsolidatedMHrequirementDec25!B38</f>
        <v/>
      </c>
      <c r="C38" s="3" t="n"/>
      <c r="D38" s="3" t="n"/>
      <c r="E38" s="3" t="n"/>
      <c r="F38" s="41">
        <f>VLOOKUP(A38,ConsolidatedMHrequirementDec25!$A$4:$K$53,4,FALSE)</f>
        <v/>
      </c>
      <c r="G38" s="3">
        <f>ConsolidatedMHrequirementDec25!F38</f>
        <v/>
      </c>
      <c r="H38" s="3">
        <f>ConsolidatedMHrequirementDec25!E38</f>
        <v/>
      </c>
      <c r="I38" s="3">
        <f>ConsolidatedMHrequirementDec25!G38</f>
        <v/>
      </c>
      <c r="J38" s="41">
        <f>VLOOKUP(A38,ConsolidatedMHrequirementDec25!$A$4:$K$53,8,FALSE)</f>
        <v/>
      </c>
      <c r="K38" s="3" t="n">
        <v>0</v>
      </c>
      <c r="L38" s="3">
        <f>J38-K38</f>
        <v/>
      </c>
      <c r="M38" s="69">
        <f>ConsolidatedMHrequirementDec25!I38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t="14.5" customFormat="1" customHeight="1" s="34">
      <c r="A39" s="10" t="inlineStr">
        <is>
          <t>B860</t>
        </is>
      </c>
      <c r="B39" s="3">
        <f>ConsolidatedMHrequirementDec25!B39</f>
        <v/>
      </c>
      <c r="C39" s="3" t="n"/>
      <c r="D39" s="3" t="n"/>
      <c r="E39" s="3" t="n"/>
      <c r="F39" s="41">
        <f>VLOOKUP(A39,ConsolidatedMHrequirementDec25!$A$4:$K$53,4,FALSE)</f>
        <v/>
      </c>
      <c r="G39" s="3">
        <f>ConsolidatedMHrequirementDec25!F39</f>
        <v/>
      </c>
      <c r="H39" s="3">
        <f>ConsolidatedMHrequirementDec25!E39</f>
        <v/>
      </c>
      <c r="I39" s="3">
        <f>ConsolidatedMHrequirementDec25!G39</f>
        <v/>
      </c>
      <c r="J39" s="41">
        <f>VLOOKUP(A39,ConsolidatedMHrequirementDec25!$A$4:$K$53,8,FALSE)</f>
        <v/>
      </c>
      <c r="K39" s="3" t="n">
        <v>0</v>
      </c>
      <c r="L39" s="3">
        <f>J39-K39</f>
        <v/>
      </c>
      <c r="M39" s="69">
        <f>ConsolidatedMHrequirementDec25!I39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t="14.5" customFormat="1" customHeight="1" s="34">
      <c r="A40" s="10" t="inlineStr">
        <is>
          <t>B861</t>
        </is>
      </c>
      <c r="B40" s="3">
        <f>ConsolidatedMHrequirementDec25!B40</f>
        <v/>
      </c>
      <c r="C40" s="3" t="n"/>
      <c r="D40" s="3" t="n"/>
      <c r="E40" s="3" t="n"/>
      <c r="F40" s="41">
        <f>VLOOKUP(A40,ConsolidatedMHrequirementDec25!$A$4:$K$53,4,FALSE)</f>
        <v/>
      </c>
      <c r="G40" s="3">
        <f>ConsolidatedMHrequirementDec25!F40</f>
        <v/>
      </c>
      <c r="H40" s="3">
        <f>ConsolidatedMHrequirementDec25!E40</f>
        <v/>
      </c>
      <c r="I40" s="3">
        <f>ConsolidatedMHrequirementDec25!G40</f>
        <v/>
      </c>
      <c r="J40" s="41">
        <f>VLOOKUP(A40,ConsolidatedMHrequirementDec25!$A$4:$K$53,8,FALSE)</f>
        <v/>
      </c>
      <c r="K40" s="3" t="n">
        <v>40</v>
      </c>
      <c r="L40" s="3">
        <f>J40-K40</f>
        <v/>
      </c>
      <c r="M40" s="69">
        <f>ConsolidatedMHrequirementDec25!I40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t="22" customFormat="1" customHeight="1" s="34">
      <c r="A41" s="10" t="inlineStr">
        <is>
          <t>B862</t>
        </is>
      </c>
      <c r="B41" s="3">
        <f>ConsolidatedMHrequirementDec25!B41</f>
        <v/>
      </c>
      <c r="C41" s="3" t="n"/>
      <c r="D41" s="3" t="n"/>
      <c r="E41" s="3" t="n"/>
      <c r="F41" s="41">
        <f>VLOOKUP(A41,ConsolidatedMHrequirementDec25!$A$4:$K$53,4,FALSE)</f>
        <v/>
      </c>
      <c r="G41" s="3">
        <f>ConsolidatedMHrequirementDec25!F41</f>
        <v/>
      </c>
      <c r="H41" s="3">
        <f>ConsolidatedMHrequirementDec25!E41</f>
        <v/>
      </c>
      <c r="I41" s="3">
        <f>ConsolidatedMHrequirementDec25!G41</f>
        <v/>
      </c>
      <c r="J41" s="41">
        <f>VLOOKUP(A41,ConsolidatedMHrequirementDec25!$A$4:$K$53,8,FALSE)</f>
        <v/>
      </c>
      <c r="K41" s="3" t="n">
        <v>0</v>
      </c>
      <c r="L41" s="3">
        <f>J41-K41</f>
        <v/>
      </c>
      <c r="M41" s="69">
        <f>ConsolidatedMHrequirementDec25!I41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t="19" customFormat="1" customHeight="1" s="34">
      <c r="A42" s="10" t="inlineStr">
        <is>
          <t>B865</t>
        </is>
      </c>
      <c r="B42" s="3">
        <f>ConsolidatedMHrequirementDec25!B42</f>
        <v/>
      </c>
      <c r="C42" s="3" t="n"/>
      <c r="D42" s="3" t="n"/>
      <c r="E42" s="3" t="n"/>
      <c r="F42" s="41">
        <f>VLOOKUP(A42,ConsolidatedMHrequirementDec25!$A$4:$K$53,4,FALSE)</f>
        <v/>
      </c>
      <c r="G42" s="3">
        <f>ConsolidatedMHrequirementDec25!F42</f>
        <v/>
      </c>
      <c r="H42" s="3">
        <f>ConsolidatedMHrequirementDec25!E42</f>
        <v/>
      </c>
      <c r="I42" s="3">
        <f>ConsolidatedMHrequirementDec25!G42</f>
        <v/>
      </c>
      <c r="J42" s="41">
        <f>VLOOKUP(A42,ConsolidatedMHrequirementDec25!$A$4:$K$53,8,FALSE)</f>
        <v/>
      </c>
      <c r="K42" s="3" t="n">
        <v>0</v>
      </c>
      <c r="L42" s="3">
        <f>J42-K42</f>
        <v/>
      </c>
      <c r="M42" s="69">
        <f>ConsolidatedMHrequirementDec25!I42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t="19" customFormat="1" customHeight="1" s="34">
      <c r="A43" s="10" t="inlineStr">
        <is>
          <t>B889</t>
        </is>
      </c>
      <c r="B43" s="3">
        <f>ConsolidatedMHrequirementDec25!B43</f>
        <v/>
      </c>
      <c r="C43" s="3" t="n"/>
      <c r="D43" s="3" t="n"/>
      <c r="E43" s="3" t="n"/>
      <c r="F43" s="41">
        <f>VLOOKUP(A43,ConsolidatedMHrequirementDec25!$A$4:$K$53,4,FALSE)</f>
        <v/>
      </c>
      <c r="G43" s="3">
        <f>ConsolidatedMHrequirementDec25!F43</f>
        <v/>
      </c>
      <c r="H43" s="3">
        <f>ConsolidatedMHrequirementDec25!E43</f>
        <v/>
      </c>
      <c r="I43" s="3">
        <f>ConsolidatedMHrequirementDec25!G43</f>
        <v/>
      </c>
      <c r="J43" s="41">
        <f>VLOOKUP(A43,ConsolidatedMHrequirementDec25!$A$4:$K$53,8,FALSE)</f>
        <v/>
      </c>
      <c r="K43" s="3" t="n">
        <v>2</v>
      </c>
      <c r="L43" s="3">
        <f>J43-K43</f>
        <v/>
      </c>
      <c r="M43" s="69">
        <f>ConsolidatedMHrequirementDec25!I43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t="19" customFormat="1" customHeight="1" s="34">
      <c r="A44" s="10" t="inlineStr">
        <is>
          <t>B895</t>
        </is>
      </c>
      <c r="B44" s="3">
        <f>ConsolidatedMHrequirementDec25!B44</f>
        <v/>
      </c>
      <c r="C44" s="3" t="n"/>
      <c r="D44" s="3" t="n"/>
      <c r="E44" s="3" t="n"/>
      <c r="F44" s="41">
        <f>VLOOKUP(A44,ConsolidatedMHrequirementDec25!$A$4:$K$53,4,FALSE)</f>
        <v/>
      </c>
      <c r="G44" s="3">
        <f>ConsolidatedMHrequirementDec25!F44</f>
        <v/>
      </c>
      <c r="H44" s="3">
        <f>ConsolidatedMHrequirementDec25!E44</f>
        <v/>
      </c>
      <c r="I44" s="3">
        <f>ConsolidatedMHrequirementDec25!G44</f>
        <v/>
      </c>
      <c r="J44" s="41">
        <f>VLOOKUP(A44,ConsolidatedMHrequirementDec25!$A$4:$K$53,8,FALSE)</f>
        <v/>
      </c>
      <c r="K44" s="3" t="n">
        <v>0</v>
      </c>
      <c r="L44" s="3">
        <f>J44-K44</f>
        <v/>
      </c>
      <c r="M44" s="69">
        <f>ConsolidatedMHrequirementDec25!I44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t="20" customFormat="1" customHeight="1" s="34">
      <c r="A45" s="10" t="inlineStr">
        <is>
          <t>B903</t>
        </is>
      </c>
      <c r="B45" s="3">
        <f>ConsolidatedMHrequirementDec25!B45</f>
        <v/>
      </c>
      <c r="C45" s="3" t="n"/>
      <c r="D45" s="3" t="n"/>
      <c r="E45" s="3" t="n"/>
      <c r="F45" s="41">
        <f>VLOOKUP(A45,ConsolidatedMHrequirementDec25!$A$4:$K$53,4,FALSE)</f>
        <v/>
      </c>
      <c r="G45" s="3">
        <f>ConsolidatedMHrequirementDec25!F45</f>
        <v/>
      </c>
      <c r="H45" s="3">
        <f>ConsolidatedMHrequirementDec25!E45</f>
        <v/>
      </c>
      <c r="I45" s="3">
        <f>ConsolidatedMHrequirementDec25!G45</f>
        <v/>
      </c>
      <c r="J45" s="41">
        <f>VLOOKUP(A45,ConsolidatedMHrequirementDec25!$A$4:$K$53,8,FALSE)</f>
        <v/>
      </c>
      <c r="K45" s="3" t="n">
        <v>0</v>
      </c>
      <c r="L45" s="3">
        <f>J45-K45</f>
        <v/>
      </c>
      <c r="M45" s="69">
        <f>ConsolidatedMHrequirementDec25!I45</f>
        <v/>
      </c>
      <c r="N45" s="69" t="n"/>
      <c r="O45" s="69" t="n"/>
      <c r="P45" s="69" t="n"/>
      <c r="Q45" s="69" t="n"/>
      <c r="R45" s="69" t="n"/>
      <c r="S45" s="69" t="n"/>
      <c r="T45" s="69" t="n"/>
    </row>
    <row r="46" customFormat="1" s="34">
      <c r="A46" s="10" t="inlineStr">
        <is>
          <t>B904</t>
        </is>
      </c>
      <c r="B46" s="3">
        <f>ConsolidatedMHrequirementDec25!B46</f>
        <v/>
      </c>
      <c r="C46" s="3" t="n"/>
      <c r="D46" s="3" t="n"/>
      <c r="E46" s="3" t="n"/>
      <c r="F46" s="41">
        <f>VLOOKUP(A46,ConsolidatedMHrequirementDec25!$A$4:$K$53,4,FALSE)</f>
        <v/>
      </c>
      <c r="G46" s="3">
        <f>ConsolidatedMHrequirementDec25!F46</f>
        <v/>
      </c>
      <c r="H46" s="3">
        <f>ConsolidatedMHrequirementDec25!E46</f>
        <v/>
      </c>
      <c r="I46" s="3">
        <f>ConsolidatedMHrequirementDec25!G46</f>
        <v/>
      </c>
      <c r="J46" s="41">
        <f>VLOOKUP(A46,ConsolidatedMHrequirementDec25!$A$4:$K$53,8,FALSE)</f>
        <v/>
      </c>
      <c r="K46" s="3" t="n">
        <v>24</v>
      </c>
      <c r="L46" s="3">
        <f>J46-K46</f>
        <v/>
      </c>
      <c r="M46" s="69">
        <f>ConsolidatedMHrequirementDec25!I46</f>
        <v/>
      </c>
      <c r="N46" s="69" t="n"/>
      <c r="O46" s="69" t="n"/>
      <c r="P46" s="69" t="n"/>
      <c r="Q46" s="69" t="n"/>
      <c r="R46" s="69" t="n"/>
      <c r="S46" s="69" t="n"/>
      <c r="T46" s="69" t="n"/>
    </row>
    <row r="47" customFormat="1" s="34">
      <c r="A47" s="10" t="inlineStr">
        <is>
          <t>B933</t>
        </is>
      </c>
      <c r="B47" s="3">
        <f>ConsolidatedMHrequirementDec25!B47</f>
        <v/>
      </c>
      <c r="C47" s="3" t="n"/>
      <c r="D47" s="3" t="n"/>
      <c r="E47" s="3" t="n"/>
      <c r="F47" s="41">
        <f>VLOOKUP(A47,ConsolidatedMHrequirementDec25!$A$4:$K$53,4,FALSE)</f>
        <v/>
      </c>
      <c r="G47" s="3">
        <f>ConsolidatedMHrequirementDec25!F47</f>
        <v/>
      </c>
      <c r="H47" s="3">
        <f>ConsolidatedMHrequirementDec25!E47</f>
        <v/>
      </c>
      <c r="I47" s="3">
        <f>ConsolidatedMHrequirementDec25!G47</f>
        <v/>
      </c>
      <c r="J47" s="41">
        <f>VLOOKUP(A47,ConsolidatedMHrequirementDec25!$A$4:$K$53,8,FALSE)</f>
        <v/>
      </c>
      <c r="K47" s="3" t="n">
        <v>0</v>
      </c>
      <c r="L47" s="3">
        <f>J47-K47</f>
        <v/>
      </c>
      <c r="M47" s="69">
        <f>ConsolidatedMHrequirementDec25!I47</f>
        <v/>
      </c>
      <c r="N47" s="69" t="n"/>
      <c r="O47" s="69" t="n"/>
      <c r="P47" s="69" t="n"/>
      <c r="Q47" s="69" t="n"/>
      <c r="R47" s="69" t="n"/>
      <c r="S47" s="69" t="n"/>
      <c r="T47" s="69" t="n"/>
    </row>
    <row r="48" customFormat="1" s="34">
      <c r="A48" s="10" t="inlineStr">
        <is>
          <t>B943</t>
        </is>
      </c>
      <c r="B48" s="3">
        <f>ConsolidatedMHrequirementDec25!B48</f>
        <v/>
      </c>
      <c r="C48" s="3" t="n"/>
      <c r="D48" s="3" t="n"/>
      <c r="E48" s="3" t="n"/>
      <c r="F48" s="41">
        <f>VLOOKUP(A48,ConsolidatedMHrequirementDec25!$A$4:$K$53,4,FALSE)</f>
        <v/>
      </c>
      <c r="G48" s="3">
        <f>ConsolidatedMHrequirementDec25!F48</f>
        <v/>
      </c>
      <c r="H48" s="3">
        <f>ConsolidatedMHrequirementDec25!E48</f>
        <v/>
      </c>
      <c r="I48" s="3">
        <f>ConsolidatedMHrequirementDec25!G48</f>
        <v/>
      </c>
      <c r="J48" s="41">
        <f>VLOOKUP(A48,ConsolidatedMHrequirementDec25!$A$4:$K$53,8,FALSE)</f>
        <v/>
      </c>
      <c r="K48" s="3" t="n">
        <v>18</v>
      </c>
      <c r="L48" s="3">
        <f>J48-K48</f>
        <v/>
      </c>
      <c r="M48" s="69">
        <f>ConsolidatedMHrequirementDec25!I48</f>
        <v/>
      </c>
      <c r="N48" s="69" t="n"/>
      <c r="O48" s="69" t="n"/>
      <c r="P48" s="69" t="n"/>
      <c r="Q48" s="69" t="n"/>
      <c r="R48" s="69" t="n"/>
      <c r="S48" s="69" t="n"/>
      <c r="T48" s="69" t="n"/>
    </row>
    <row r="49" customFormat="1" s="34">
      <c r="A49" s="10" t="inlineStr">
        <is>
          <t>B957</t>
        </is>
      </c>
      <c r="B49" s="3">
        <f>ConsolidatedMHrequirementDec25!B49</f>
        <v/>
      </c>
      <c r="C49" s="3" t="n"/>
      <c r="D49" s="3" t="n"/>
      <c r="E49" s="3" t="n"/>
      <c r="F49" s="41">
        <f>VLOOKUP(A49,ConsolidatedMHrequirementDec25!$A$4:$K$53,4,FALSE)</f>
        <v/>
      </c>
      <c r="G49" s="3">
        <f>ConsolidatedMHrequirementDec25!F49</f>
        <v/>
      </c>
      <c r="H49" s="3">
        <f>ConsolidatedMHrequirementDec25!E49</f>
        <v/>
      </c>
      <c r="I49" s="3">
        <f>ConsolidatedMHrequirementDec25!G49</f>
        <v/>
      </c>
      <c r="J49" s="41">
        <f>VLOOKUP(A49,ConsolidatedMHrequirementDec25!$A$4:$K$53,8,FALSE)</f>
        <v/>
      </c>
      <c r="K49" s="3" t="n">
        <v>0</v>
      </c>
      <c r="L49" s="3">
        <f>J49-K49</f>
        <v/>
      </c>
      <c r="M49" s="69">
        <f>ConsolidatedMHrequirementDec25!I49</f>
        <v/>
      </c>
      <c r="N49" s="69" t="n"/>
      <c r="O49" s="69" t="n"/>
      <c r="P49" s="69" t="n"/>
      <c r="Q49" s="69" t="n"/>
      <c r="R49" s="69" t="n"/>
      <c r="S49" s="69" t="n"/>
      <c r="T49" s="69" t="n"/>
    </row>
    <row r="50" customFormat="1" s="34">
      <c r="A50" s="10" t="inlineStr">
        <is>
          <t>C007</t>
        </is>
      </c>
      <c r="B50" s="3">
        <f>ConsolidatedMHrequirementDec25!B50</f>
        <v/>
      </c>
      <c r="C50" s="3" t="n"/>
      <c r="D50" s="3" t="n"/>
      <c r="E50" s="3" t="n"/>
      <c r="F50" s="41">
        <f>VLOOKUP(A50,ConsolidatedMHrequirementDec25!$A$4:$K$53,4,FALSE)</f>
        <v/>
      </c>
      <c r="G50" s="3">
        <f>ConsolidatedMHrequirementDec25!F50</f>
        <v/>
      </c>
      <c r="H50" s="3">
        <f>ConsolidatedMHrequirementDec25!E50</f>
        <v/>
      </c>
      <c r="I50" s="3">
        <f>ConsolidatedMHrequirementDec25!G50</f>
        <v/>
      </c>
      <c r="J50" s="41">
        <f>VLOOKUP(A50,ConsolidatedMHrequirementDec25!$A$4:$K$53,8,FALSE)</f>
        <v/>
      </c>
      <c r="K50" s="3" t="n">
        <v>0</v>
      </c>
      <c r="L50" s="3">
        <f>J50-K50</f>
        <v/>
      </c>
      <c r="M50" s="69">
        <f>ConsolidatedMHrequirementDec25!I50</f>
        <v/>
      </c>
      <c r="N50" s="69" t="n"/>
      <c r="O50" s="69" t="n"/>
      <c r="P50" s="69" t="n"/>
      <c r="Q50" s="69" t="n"/>
      <c r="R50" s="69" t="n"/>
      <c r="S50" s="69" t="n"/>
      <c r="T50" s="69" t="n"/>
    </row>
    <row r="51" customFormat="1" s="34">
      <c r="A51" s="10" t="inlineStr">
        <is>
          <t>C028</t>
        </is>
      </c>
      <c r="B51" s="3">
        <f>ConsolidatedMHrequirementDec25!B51</f>
        <v/>
      </c>
      <c r="C51" s="3" t="n"/>
      <c r="D51" s="3" t="n"/>
      <c r="E51" s="3" t="n"/>
      <c r="F51" s="41">
        <f>VLOOKUP(A51,ConsolidatedMHrequirementDec25!$A$4:$K$53,4,FALSE)</f>
        <v/>
      </c>
      <c r="G51" s="3">
        <f>ConsolidatedMHrequirementDec25!F51</f>
        <v/>
      </c>
      <c r="H51" s="3">
        <f>ConsolidatedMHrequirementDec25!E51</f>
        <v/>
      </c>
      <c r="I51" s="3">
        <f>ConsolidatedMHrequirementDec25!G51</f>
        <v/>
      </c>
      <c r="J51" s="41">
        <f>VLOOKUP(A51,ConsolidatedMHrequirementDec25!$A$4:$K$53,8,FALSE)</f>
        <v/>
      </c>
      <c r="K51" s="3" t="n">
        <v>0</v>
      </c>
      <c r="L51" s="3">
        <f>J51-K51</f>
        <v/>
      </c>
      <c r="M51" s="69">
        <f>ConsolidatedMHrequirementDec25!I51</f>
        <v/>
      </c>
      <c r="N51" s="69" t="n"/>
      <c r="O51" s="69" t="n"/>
      <c r="P51" s="69" t="n"/>
      <c r="Q51" s="69" t="n"/>
      <c r="R51" s="69" t="n"/>
      <c r="S51" s="69" t="n"/>
      <c r="T51" s="69" t="n"/>
    </row>
    <row r="52">
      <c r="A52" s="3" t="inlineStr">
        <is>
          <t>Leave</t>
        </is>
      </c>
      <c r="B52" s="3">
        <f>ConsolidatedMHrequirementDec25!B52</f>
        <v/>
      </c>
      <c r="C52" s="3" t="n"/>
      <c r="D52" s="3" t="n"/>
      <c r="E52" s="3" t="n"/>
      <c r="F52" s="41">
        <f>VLOOKUP(A52,ConsolidatedMHrequirementDec25!$A$4:$K$53,4,FALSE)</f>
        <v/>
      </c>
      <c r="G52" s="3">
        <f>ConsolidatedMHrequirementDec25!F52</f>
        <v/>
      </c>
      <c r="H52" s="3">
        <f>ConsolidatedMHrequirementDec25!E52</f>
        <v/>
      </c>
      <c r="I52" s="3">
        <f>ConsolidatedMHrequirementDec25!G52</f>
        <v/>
      </c>
      <c r="J52" s="41">
        <f>VLOOKUP(A52,ConsolidatedMHrequirementDec25!$A$4:$K$53,8,FALSE)</f>
        <v/>
      </c>
      <c r="K52" s="3" t="n">
        <v>0</v>
      </c>
      <c r="L52" s="3">
        <f>J52-K52</f>
        <v/>
      </c>
      <c r="M52" s="69">
        <f>ConsolidatedMHrequirementDec25!I52</f>
        <v/>
      </c>
      <c r="N52" s="69" t="n"/>
      <c r="O52" s="69" t="n"/>
      <c r="P52" s="69" t="n"/>
      <c r="Q52" s="69" t="n"/>
      <c r="R52" s="69" t="n"/>
      <c r="S52" s="69" t="n"/>
      <c r="T52" s="69" t="n"/>
    </row>
    <row r="53">
      <c r="A53" s="3" t="inlineStr">
        <is>
          <t>Total</t>
        </is>
      </c>
      <c r="B53" s="3">
        <f>ConsolidatedMHrequirementDec25!B53</f>
        <v/>
      </c>
      <c r="C53" s="3" t="n"/>
      <c r="D53" s="3" t="n"/>
      <c r="E53" s="3" t="n"/>
      <c r="F53" s="41">
        <f>VLOOKUP(A53,ConsolidatedMHrequirementDec25!$A$4:$K$53,4,FALSE)</f>
        <v/>
      </c>
      <c r="G53" s="3">
        <f>ConsolidatedMHrequirementDec25!F53</f>
        <v/>
      </c>
      <c r="H53" s="3">
        <f>ConsolidatedMHrequirementDec25!E53</f>
        <v/>
      </c>
      <c r="I53" s="3">
        <f>ConsolidatedMHrequirementDec25!G53</f>
        <v/>
      </c>
      <c r="J53" s="41">
        <f>VLOOKUP(A53,ConsolidatedMHrequirementDec25!$A$4:$K$53,8,FALSE)</f>
        <v/>
      </c>
      <c r="K53" s="3" t="n">
        <v>0</v>
      </c>
      <c r="L53" s="3">
        <f>J53-K53</f>
        <v/>
      </c>
      <c r="M53" s="69">
        <f>ConsolidatedMHrequirementDec25!I53</f>
        <v/>
      </c>
    </row>
    <row r="54">
      <c r="A54" s="55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55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24" t="inlineStr">
        <is>
          <t xml:space="preserve">Guidelines : </t>
        </is>
      </c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</row>
    <row r="57">
      <c r="A57" s="26" t="inlineStr">
        <is>
          <t>1. Inspection Visit including review and endorsement of final documents: At  actual</t>
        </is>
      </c>
      <c r="B57" s="26" t="n"/>
    </row>
    <row r="58">
      <c r="A58" s="26" t="inlineStr">
        <is>
          <t xml:space="preserve">2. Expediting and preparation of expediting report: Average 2 hours /month /order ( No Octarate man hours for coordination ) </t>
        </is>
      </c>
    </row>
    <row r="59">
      <c r="A59" s="26" t="inlineStr">
        <is>
          <t xml:space="preserve">3. Expediting visit/ Attending meeting with project/.Client: At  actual </t>
        </is>
      </c>
    </row>
    <row r="60">
      <c r="A60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1">
      <c r="A61" s="26" t="inlineStr">
        <is>
          <t xml:space="preserve">5. Review of ITP for Equipment (Mechanical and Electrical/DCS etc): Average 2 hours/order </t>
        </is>
      </c>
    </row>
    <row r="62">
      <c r="A62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3">
      <c r="A63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4">
      <c r="A64" s="26" t="inlineStr">
        <is>
          <t xml:space="preserve">8. Order Closing report: Average 2 hours/Order  </t>
        </is>
      </c>
    </row>
  </sheetData>
  <autoFilter ref="A3:L53"/>
  <pageMargins left="0.7" right="0.7" top="0.75" bottom="0.75" header="0.3" footer="0.3"/>
  <pageSetup orientation="landscape" scale="7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54"/>
  <sheetViews>
    <sheetView topLeftCell="A31" workbookViewId="0">
      <selection activeCell="K5" sqref="K5"/>
    </sheetView>
  </sheetViews>
  <sheetFormatPr baseColWidth="8" defaultRowHeight="14.5"/>
  <cols>
    <col width="11.453125" customWidth="1" style="125" min="1" max="1"/>
    <col width="7.90625" customWidth="1" style="125" min="2" max="3"/>
    <col width="6" customWidth="1" style="125" min="4" max="4"/>
    <col width="14.1796875" customWidth="1" style="125" min="5" max="5"/>
    <col width="5.90625" customWidth="1" style="125" min="6" max="6"/>
    <col width="9.54296875" customWidth="1" style="125" min="7" max="7"/>
    <col width="8.90625" customWidth="1" style="125" min="8" max="8"/>
    <col width="5.6328125" customWidth="1" style="125" min="9" max="9"/>
    <col width="19.08984375" customWidth="1" style="125" min="11" max="11"/>
    <col width="18.6328125" customWidth="1" style="125" min="12" max="12"/>
  </cols>
  <sheetData>
    <row r="1">
      <c r="A1" s="4" t="n"/>
    </row>
    <row r="2">
      <c r="A2" s="78" t="n"/>
      <c r="B2" s="78" t="n"/>
      <c r="C2" s="78" t="n"/>
      <c r="D2" s="78" t="n"/>
      <c r="G2" s="78" t="n"/>
      <c r="H2" s="78" t="n"/>
    </row>
    <row r="3" ht="43.5" customHeight="1" s="125">
      <c r="A3" s="73" t="inlineStr">
        <is>
          <t>Job number</t>
        </is>
      </c>
      <c r="B3" s="79" t="inlineStr">
        <is>
          <t>Manhour sought</t>
        </is>
      </c>
      <c r="C3" s="105" t="n"/>
      <c r="D3" s="106" t="n"/>
      <c r="E3" s="74" t="inlineStr">
        <is>
          <t>Total required (Oct-Dec'25)</t>
        </is>
      </c>
      <c r="F3" s="82" t="n"/>
      <c r="G3" s="79" t="inlineStr">
        <is>
          <t>Manhour allocated</t>
        </is>
      </c>
      <c r="H3" s="80" t="n"/>
      <c r="I3" s="81" t="n"/>
      <c r="K3" s="77" t="inlineStr">
        <is>
          <t>Manhour pending from project as on 19/01/26</t>
        </is>
      </c>
      <c r="L3" s="14" t="inlineStr">
        <is>
          <t xml:space="preserve"> </t>
        </is>
      </c>
      <c r="M3" s="122" t="inlineStr">
        <is>
          <t>Final 8518 Bkd</t>
        </is>
      </c>
      <c r="P3" s="85" t="inlineStr">
        <is>
          <t>Monthwise Total</t>
        </is>
      </c>
      <c r="Q3" s="86" t="n"/>
    </row>
    <row r="4">
      <c r="A4" s="1" t="n"/>
      <c r="B4" s="118" t="inlineStr">
        <is>
          <t>Oct</t>
        </is>
      </c>
      <c r="C4" s="118" t="inlineStr">
        <is>
          <t>Nov</t>
        </is>
      </c>
      <c r="D4" s="118" t="inlineStr">
        <is>
          <t>Dec</t>
        </is>
      </c>
      <c r="E4" s="1" t="n"/>
      <c r="F4" s="1" t="n"/>
      <c r="G4" s="118" t="inlineStr">
        <is>
          <t>Oct</t>
        </is>
      </c>
      <c r="H4" s="118" t="inlineStr">
        <is>
          <t>Nov</t>
        </is>
      </c>
      <c r="I4" s="118" t="inlineStr">
        <is>
          <t>Dec</t>
        </is>
      </c>
      <c r="K4" s="28" t="n"/>
      <c r="M4" t="inlineStr">
        <is>
          <t>Oct</t>
        </is>
      </c>
      <c r="N4" t="inlineStr">
        <is>
          <t>Nov</t>
        </is>
      </c>
      <c r="O4" t="inlineStr">
        <is>
          <t>Dec</t>
        </is>
      </c>
      <c r="P4" s="87" t="n">
        <v>45931</v>
      </c>
      <c r="Q4" s="85" t="n">
        <v>800</v>
      </c>
    </row>
    <row r="5" ht="14.5" customHeight="1" s="125">
      <c r="A5" s="71" t="n">
        <v>4994</v>
      </c>
      <c r="B5" s="1">
        <f>IFERROR(VLOOKUP('Oct-Dec25MHRequirement'!A5,'Oct25'!$A$4:$L$52,10,FALSE),0)</f>
        <v/>
      </c>
      <c r="C5" s="1">
        <f>IFERROR(VLOOKUP('Oct-Dec25MHRequirement'!A5,'Nov25 '!$A$4:$L$52,10,FALSE),0)</f>
        <v/>
      </c>
      <c r="D5" s="1">
        <f>IFERROR(VLOOKUP('Oct-Dec25MHRequirement'!A5,'Dec25'!$A$4:$L$52,10,FALSE),0)</f>
        <v/>
      </c>
      <c r="E5" s="1">
        <f>SUM(B5:D5)</f>
        <v/>
      </c>
      <c r="F5" s="1" t="n"/>
      <c r="G5" s="1">
        <f>IFERROR(VLOOKUP('Oct-Dec25MHRequirement'!A5,'Oct25'!$A$4:$L$52,11,FALSE),0)</f>
        <v/>
      </c>
      <c r="H5" s="1">
        <f>IFERROR(VLOOKUP('Oct-Dec25MHRequirement'!A5,'Nov25 '!A4:L52,11,FALSE),0)</f>
        <v/>
      </c>
      <c r="I5" s="1">
        <f>IFERROR(VLOOKUP('Oct-Dec25MHRequirement'!A5,'Dec25'!A4:L52,11,FALSE),0)</f>
        <v/>
      </c>
      <c r="K5" s="28">
        <f>E5-G5-H5-I5</f>
        <v/>
      </c>
      <c r="M5" t="n">
        <v>128</v>
      </c>
      <c r="N5" t="n">
        <v>0</v>
      </c>
      <c r="O5" t="n">
        <v>0</v>
      </c>
      <c r="P5" s="87" t="n">
        <v>45962</v>
      </c>
      <c r="Q5" s="85" t="n">
        <v>800</v>
      </c>
    </row>
    <row r="6" ht="14.5" customHeight="1" s="125">
      <c r="A6" s="71" t="n">
        <v>6979</v>
      </c>
      <c r="B6" s="1">
        <f>IFERROR(VLOOKUP('Oct-Dec25MHRequirement'!A6,'Oct25'!$A$4:$L$52,10,FALSE),0)</f>
        <v/>
      </c>
      <c r="C6" s="1">
        <f>IFERROR(VLOOKUP('Oct-Dec25MHRequirement'!A6,'Nov25 '!$A$4:$L$52,10,FALSE),0)</f>
        <v/>
      </c>
      <c r="D6" s="1">
        <f>IFERROR(VLOOKUP('Oct-Dec25MHRequirement'!A6,'Dec25'!$A$4:$L$52,10,FALSE),0)</f>
        <v/>
      </c>
      <c r="E6" s="1">
        <f>SUM(B6:D6)</f>
        <v/>
      </c>
      <c r="F6" s="1" t="n"/>
      <c r="G6" s="1">
        <f>IFERROR(VLOOKUP('Oct-Dec25MHRequirement'!A6,'Oct25'!$A$4:$L$52,11,FALSE),0)</f>
        <v/>
      </c>
      <c r="H6" s="1">
        <f>IFERROR(VLOOKUP('Oct-Dec25MHRequirement'!A6,'Nov25 '!A5:L53,11,FALSE),0)</f>
        <v/>
      </c>
      <c r="I6" s="1">
        <f>IFERROR(VLOOKUP('Oct-Dec25MHRequirement'!A6,'Dec25'!A5:L53,11,FALSE),0)</f>
        <v/>
      </c>
      <c r="K6" s="28">
        <f>E6-G6-H6-I6</f>
        <v/>
      </c>
      <c r="P6" s="87" t="n">
        <v>45992</v>
      </c>
      <c r="Q6" s="85" t="n">
        <v>880</v>
      </c>
    </row>
    <row r="7" ht="14.5" customHeight="1" s="125">
      <c r="A7" s="71" t="n">
        <v>7716</v>
      </c>
      <c r="B7" s="1">
        <f>IFERROR(VLOOKUP('Oct-Dec25MHRequirement'!A7,'Oct25'!$A$4:$L$52,10,FALSE),0)</f>
        <v/>
      </c>
      <c r="C7" s="1">
        <f>IFERROR(VLOOKUP('Oct-Dec25MHRequirement'!A7,'Nov25 '!$A$4:$L$52,10,FALSE),0)</f>
        <v/>
      </c>
      <c r="D7" s="1">
        <f>IFERROR(VLOOKUP('Oct-Dec25MHRequirement'!A7,'Dec25'!$A$4:$L$52,10,FALSE),0)</f>
        <v/>
      </c>
      <c r="E7" s="1">
        <f>SUM(B7:D7)</f>
        <v/>
      </c>
      <c r="F7" s="1" t="n"/>
      <c r="G7" s="1">
        <f>IFERROR(VLOOKUP('Oct-Dec25MHRequirement'!A7,'Oct25'!$A$4:$L$52,11,FALSE),0)</f>
        <v/>
      </c>
      <c r="H7" s="1">
        <f>IFERROR(VLOOKUP('Oct-Dec25MHRequirement'!A7,'Nov25 '!A6:L54,11,FALSE),0)</f>
        <v/>
      </c>
      <c r="I7" s="1">
        <f>IFERROR(VLOOKUP('Oct-Dec25MHRequirement'!A7,'Dec25'!A6:L54,11,FALSE),0)</f>
        <v/>
      </c>
      <c r="K7" s="28">
        <f>E7-G7-H7-I7</f>
        <v/>
      </c>
      <c r="N7" s="122">
        <f>M5+N5+O5</f>
        <v/>
      </c>
      <c r="P7" s="85" t="inlineStr">
        <is>
          <t>Total</t>
        </is>
      </c>
      <c r="Q7" s="85">
        <f>SUM(Q4:Q6)</f>
        <v/>
      </c>
    </row>
    <row r="8" ht="14.5" customHeight="1" s="125">
      <c r="A8" s="71" t="n">
        <v>8518</v>
      </c>
      <c r="B8" s="1">
        <f>IFERROR(VLOOKUP('Oct-Dec25MHRequirement'!A8,'Oct25'!$A$4:$L$52,10,FALSE),0)</f>
        <v/>
      </c>
      <c r="C8" s="1">
        <f>IFERROR(VLOOKUP('Oct-Dec25MHRequirement'!A8,'Nov25 '!$A$4:$L$52,10,FALSE),0)</f>
        <v/>
      </c>
      <c r="D8" s="1">
        <f>IFERROR(VLOOKUP('Oct-Dec25MHRequirement'!A8,'Dec25'!$A$4:$L$52,10,FALSE),0)</f>
        <v/>
      </c>
      <c r="E8" s="1">
        <f>SUM(B8:D8)</f>
        <v/>
      </c>
      <c r="F8" s="1" t="n"/>
      <c r="G8" s="1">
        <f>IFERROR(VLOOKUP('Oct-Dec25MHRequirement'!A8,'Oct25'!$A$4:$L$52,11,FALSE),0)</f>
        <v/>
      </c>
      <c r="H8" s="1">
        <f>IFERROR(VLOOKUP('Oct-Dec25MHRequirement'!A8,'Nov25 '!A7:L55,11,FALSE),0)</f>
        <v/>
      </c>
      <c r="I8" s="1">
        <f>IFERROR(VLOOKUP('Oct-Dec25MHRequirement'!A8,'Dec25'!A7:L55,11,FALSE),0)</f>
        <v/>
      </c>
      <c r="K8" s="28">
        <f>E8-G8-H8-I8</f>
        <v/>
      </c>
      <c r="P8" s="86" t="n"/>
      <c r="Q8" s="86" t="n"/>
    </row>
    <row r="9" ht="14.5" customHeight="1" s="125">
      <c r="A9" s="71" t="n">
        <v>8590</v>
      </c>
      <c r="B9" s="1">
        <f>IFERROR(VLOOKUP('Oct-Dec25MHRequirement'!A9,'Oct25'!$A$4:$L$52,10,FALSE),0)</f>
        <v/>
      </c>
      <c r="C9" s="1">
        <f>IFERROR(VLOOKUP('Oct-Dec25MHRequirement'!A9,'Nov25 '!$A$4:$L$52,10,FALSE),0)</f>
        <v/>
      </c>
      <c r="D9" s="1">
        <f>IFERROR(VLOOKUP('Oct-Dec25MHRequirement'!A9,'Dec25'!$A$4:$L$52,10,FALSE),0)</f>
        <v/>
      </c>
      <c r="E9" s="1">
        <f>SUM(B9:D9)</f>
        <v/>
      </c>
      <c r="F9" s="1" t="n"/>
      <c r="G9" s="1">
        <f>IFERROR(VLOOKUP('Oct-Dec25MHRequirement'!A9,'Oct25'!$A$4:$L$52,11,FALSE),0)</f>
        <v/>
      </c>
      <c r="H9" s="1">
        <f>IFERROR(VLOOKUP('Oct-Dec25MHRequirement'!A9,'Nov25 '!A8:L56,11,FALSE),0)</f>
        <v/>
      </c>
      <c r="I9" s="1">
        <f>IFERROR(VLOOKUP('Oct-Dec25MHRequirement'!A9,'Dec25'!A8:L56,11,FALSE),0)</f>
        <v/>
      </c>
      <c r="K9" s="28">
        <f>E9-G9-H9-I9</f>
        <v/>
      </c>
      <c r="M9" s="83" t="inlineStr">
        <is>
          <t>%8518:</t>
        </is>
      </c>
      <c r="N9" s="88">
        <f>N7/Q7</f>
        <v/>
      </c>
      <c r="O9" s="83" t="n"/>
      <c r="P9" s="83" t="n"/>
      <c r="Q9" s="83" t="n"/>
    </row>
    <row r="10" ht="14.5" customHeight="1" s="125">
      <c r="A10" s="10" t="inlineStr">
        <is>
          <t>B016</t>
        </is>
      </c>
      <c r="B10" s="1">
        <f>IFERROR(VLOOKUP('Oct-Dec25MHRequirement'!A10,'Oct25'!$A$4:$L$52,10,FALSE),0)</f>
        <v/>
      </c>
      <c r="C10" s="1">
        <f>IFERROR(VLOOKUP('Oct-Dec25MHRequirement'!A10,'Nov25 '!$A$4:$L$52,10,FALSE),0)</f>
        <v/>
      </c>
      <c r="D10" s="1">
        <f>IFERROR(VLOOKUP('Oct-Dec25MHRequirement'!A10,'Dec25'!$A$4:$L$52,10,FALSE),0)</f>
        <v/>
      </c>
      <c r="E10" s="1">
        <f>SUM(B10:D10)</f>
        <v/>
      </c>
      <c r="F10" s="1" t="n"/>
      <c r="G10" s="1">
        <f>IFERROR(VLOOKUP('Oct-Dec25MHRequirement'!A10,'Oct25'!$A$4:$L$52,11,FALSE),0)</f>
        <v/>
      </c>
      <c r="H10" s="1">
        <f>IFERROR(VLOOKUP('Oct-Dec25MHRequirement'!A10,'Nov25 '!A9:L57,11,FALSE),0)</f>
        <v/>
      </c>
      <c r="I10" s="1">
        <f>IFERROR(VLOOKUP('Oct-Dec25MHRequirement'!A10,'Dec25'!A9:L57,11,FALSE),0)</f>
        <v/>
      </c>
      <c r="K10" s="28">
        <f>E10-G10-H10-I10</f>
        <v/>
      </c>
      <c r="M10" s="83" t="inlineStr">
        <is>
          <t>%8518 due to non availability of Pjt MH:</t>
        </is>
      </c>
      <c r="N10" s="83" t="n"/>
      <c r="O10" s="83" t="n"/>
      <c r="P10" s="83" t="n"/>
      <c r="Q10" s="83">
        <f>SUM(K5:K7,K9:K54)</f>
        <v/>
      </c>
    </row>
    <row r="11" ht="14.5" customHeight="1" s="125">
      <c r="A11" s="10" t="inlineStr">
        <is>
          <t>B035</t>
        </is>
      </c>
      <c r="B11" s="1">
        <f>IFERROR(VLOOKUP('Oct-Dec25MHRequirement'!A11,'Oct25'!$A$4:$L$52,10,FALSE),0)</f>
        <v/>
      </c>
      <c r="C11" s="1">
        <f>IFERROR(VLOOKUP('Oct-Dec25MHRequirement'!A11,'Nov25 '!$A$4:$L$52,10,FALSE),0)</f>
        <v/>
      </c>
      <c r="D11" s="1">
        <f>IFERROR(VLOOKUP('Oct-Dec25MHRequirement'!A11,'Dec25'!$A$4:$L$52,10,FALSE),0)</f>
        <v/>
      </c>
      <c r="E11" s="1">
        <f>SUM(B11:D11)</f>
        <v/>
      </c>
      <c r="F11" s="1" t="n"/>
      <c r="G11" s="1">
        <f>IFERROR(VLOOKUP('Oct-Dec25MHRequirement'!A11,'Oct25'!$A$4:$L$52,11,FALSE),0)</f>
        <v/>
      </c>
      <c r="H11" s="1">
        <f>IFERROR(VLOOKUP('Oct-Dec25MHRequirement'!A11,'Nov25 '!A10:L58,11,FALSE),0)</f>
        <v/>
      </c>
      <c r="I11" s="1">
        <f>IFERROR(VLOOKUP('Oct-Dec25MHRequirement'!A11,'Dec25'!A10:L58,11,FALSE),0)</f>
        <v/>
      </c>
      <c r="K11" s="28">
        <f>E11-G11-H11-I11</f>
        <v/>
      </c>
      <c r="M11" s="83" t="n"/>
      <c r="N11" s="83" t="n"/>
      <c r="O11" s="83" t="n"/>
      <c r="P11" s="83" t="n"/>
      <c r="Q11" s="88">
        <f>Q10/Q7</f>
        <v/>
      </c>
    </row>
    <row r="12" ht="14.5" customHeight="1" s="125">
      <c r="A12" s="10" t="inlineStr">
        <is>
          <t>B038</t>
        </is>
      </c>
      <c r="B12" s="1">
        <f>IFERROR(VLOOKUP('Oct-Dec25MHRequirement'!A12,'Oct25'!$A$4:$L$52,10,FALSE),0)</f>
        <v/>
      </c>
      <c r="C12" s="1">
        <f>IFERROR(VLOOKUP('Oct-Dec25MHRequirement'!A12,'Nov25 '!$A$4:$L$52,10,FALSE),0)</f>
        <v/>
      </c>
      <c r="D12" s="1">
        <f>IFERROR(VLOOKUP('Oct-Dec25MHRequirement'!A12,'Dec25'!$A$4:$L$52,10,FALSE),0)</f>
        <v/>
      </c>
      <c r="E12" s="1">
        <f>SUM(B12:D12)</f>
        <v/>
      </c>
      <c r="F12" s="1" t="n"/>
      <c r="G12" s="1">
        <f>IFERROR(VLOOKUP('Oct-Dec25MHRequirement'!A12,'Oct25'!$A$4:$L$52,11,FALSE),0)</f>
        <v/>
      </c>
      <c r="H12" s="1">
        <f>IFERROR(VLOOKUP('Oct-Dec25MHRequirement'!A12,'Nov25 '!A11:L59,11,FALSE),0)</f>
        <v/>
      </c>
      <c r="I12" s="1">
        <f>IFERROR(VLOOKUP('Oct-Dec25MHRequirement'!A12,'Dec25'!A11:L59,11,FALSE),0)</f>
        <v/>
      </c>
      <c r="K12" s="28">
        <f>E12-G12-H12-I12</f>
        <v/>
      </c>
      <c r="M12" s="83" t="inlineStr">
        <is>
          <t>%8518 on Ov Hd</t>
        </is>
      </c>
      <c r="N12" s="83" t="n"/>
      <c r="O12" s="83" t="n"/>
      <c r="P12" s="83" t="n"/>
      <c r="Q12" s="89">
        <f>N9-Q11</f>
        <v/>
      </c>
    </row>
    <row r="13" ht="14.5" customHeight="1" s="125">
      <c r="A13" s="10" t="inlineStr">
        <is>
          <t>B058</t>
        </is>
      </c>
      <c r="B13" s="1">
        <f>IFERROR(VLOOKUP('Oct-Dec25MHRequirement'!A13,'Oct25'!$A$4:$L$52,10,FALSE),0)</f>
        <v/>
      </c>
      <c r="C13" s="1">
        <f>IFERROR(VLOOKUP('Oct-Dec25MHRequirement'!A13,'Nov25 '!$A$4:$L$52,10,FALSE),0)</f>
        <v/>
      </c>
      <c r="D13" s="1">
        <f>IFERROR(VLOOKUP('Oct-Dec25MHRequirement'!A13,'Dec25'!$A$4:$L$52,10,FALSE),0)</f>
        <v/>
      </c>
      <c r="E13" s="1">
        <f>SUM(B13:D13)</f>
        <v/>
      </c>
      <c r="F13" s="1" t="n"/>
      <c r="G13" s="1">
        <f>IFERROR(VLOOKUP('Oct-Dec25MHRequirement'!A13,'Oct25'!$A$4:$L$52,11,FALSE),0)</f>
        <v/>
      </c>
      <c r="H13" s="1">
        <f>IFERROR(VLOOKUP('Oct-Dec25MHRequirement'!A13,'Nov25 '!A12:L60,11,FALSE),0)</f>
        <v/>
      </c>
      <c r="I13" s="1">
        <f>IFERROR(VLOOKUP('Oct-Dec25MHRequirement'!A13,'Dec25'!A12:L60,11,FALSE),0)</f>
        <v/>
      </c>
      <c r="K13" s="28">
        <f>E13-G13-H13-I13</f>
        <v/>
      </c>
    </row>
    <row r="14">
      <c r="A14" s="10" t="inlineStr">
        <is>
          <t>B224</t>
        </is>
      </c>
      <c r="B14" s="1">
        <f>IFERROR(VLOOKUP('Oct-Dec25MHRequirement'!A14,'Oct25'!$A$4:$L$52,10,FALSE),0)</f>
        <v/>
      </c>
      <c r="C14" s="1">
        <f>IFERROR(VLOOKUP('Oct-Dec25MHRequirement'!A14,'Nov25 '!$A$4:$L$52,10,FALSE),0)</f>
        <v/>
      </c>
      <c r="D14" s="1">
        <f>IFERROR(VLOOKUP('Oct-Dec25MHRequirement'!A14,'Dec25'!$A$4:$L$52,10,FALSE),0)</f>
        <v/>
      </c>
      <c r="E14" s="1">
        <f>SUM(B14:D14)</f>
        <v/>
      </c>
      <c r="F14" s="1" t="n"/>
      <c r="G14" s="1">
        <f>IFERROR(VLOOKUP('Oct-Dec25MHRequirement'!A14,'Oct25'!$A$4:$L$52,11,FALSE),0)</f>
        <v/>
      </c>
      <c r="H14" s="1">
        <f>IFERROR(VLOOKUP('Oct-Dec25MHRequirement'!A14,'Nov25 '!A13:L61,11,FALSE),0)</f>
        <v/>
      </c>
      <c r="I14" s="1">
        <f>IFERROR(VLOOKUP('Oct-Dec25MHRequirement'!A14,'Dec25'!A13:L61,11,FALSE),0)</f>
        <v/>
      </c>
      <c r="K14" s="28">
        <f>E14-G14-H14-I14</f>
        <v/>
      </c>
    </row>
    <row r="15" ht="14.5" customHeight="1" s="125">
      <c r="A15" s="10" t="inlineStr">
        <is>
          <t>B229</t>
        </is>
      </c>
      <c r="B15" s="1">
        <f>IFERROR(VLOOKUP('Oct-Dec25MHRequirement'!A15,'Oct25'!$A$4:$L$52,10,FALSE),0)</f>
        <v/>
      </c>
      <c r="C15" s="1">
        <f>IFERROR(VLOOKUP('Oct-Dec25MHRequirement'!A15,'Nov25 '!$A$4:$L$52,10,FALSE),0)</f>
        <v/>
      </c>
      <c r="D15" s="1">
        <f>IFERROR(VLOOKUP('Oct-Dec25MHRequirement'!A15,'Dec25'!$A$4:$L$52,10,FALSE),0)</f>
        <v/>
      </c>
      <c r="E15" s="1">
        <f>SUM(B15:D15)</f>
        <v/>
      </c>
      <c r="F15" s="1" t="n"/>
      <c r="G15" s="1">
        <f>IFERROR(VLOOKUP('Oct-Dec25MHRequirement'!A15,'Oct25'!$A$4:$L$52,11,FALSE),0)</f>
        <v/>
      </c>
      <c r="H15" s="1">
        <f>IFERROR(VLOOKUP('Oct-Dec25MHRequirement'!A15,'Nov25 '!A14:L62,11,FALSE),0)</f>
        <v/>
      </c>
      <c r="I15" s="1">
        <f>IFERROR(VLOOKUP('Oct-Dec25MHRequirement'!A15,'Dec25'!A14:L62,11,FALSE),0)</f>
        <v/>
      </c>
      <c r="K15" s="28">
        <f>E15-G15-H15-I15</f>
        <v/>
      </c>
      <c r="M15" t="inlineStr">
        <is>
          <t>B302 MH not recd. Despite efforts - finally, 250h used from B862 on 21/1/26 to complete Dec Qtr TS. (B862-609)</t>
        </is>
      </c>
    </row>
    <row r="16">
      <c r="A16" s="10" t="inlineStr">
        <is>
          <t>B269</t>
        </is>
      </c>
      <c r="B16" s="1">
        <f>IFERROR(VLOOKUP('Oct-Dec25MHRequirement'!A16,'Oct25'!$A$4:$L$52,10,FALSE),0)</f>
        <v/>
      </c>
      <c r="C16" s="1">
        <f>IFERROR(VLOOKUP('Oct-Dec25MHRequirement'!A16,'Nov25 '!$A$4:$L$52,10,FALSE),0)</f>
        <v/>
      </c>
      <c r="D16" s="1">
        <f>IFERROR(VLOOKUP('Oct-Dec25MHRequirement'!A16,'Dec25'!$A$4:$L$52,10,FALSE),0)</f>
        <v/>
      </c>
      <c r="E16" s="1">
        <f>SUM(B16:D16)</f>
        <v/>
      </c>
      <c r="F16" s="1" t="n"/>
      <c r="G16" s="1">
        <f>IFERROR(VLOOKUP('Oct-Dec25MHRequirement'!A16,'Oct25'!$A$4:$L$52,11,FALSE),0)</f>
        <v/>
      </c>
      <c r="H16" s="1">
        <f>IFERROR(VLOOKUP('Oct-Dec25MHRequirement'!A16,'Nov25 '!A15:L63,11,FALSE),0)</f>
        <v/>
      </c>
      <c r="I16" s="1">
        <f>IFERROR(VLOOKUP('Oct-Dec25MHRequirement'!A16,'Dec25'!A15:L63,11,FALSE),0)</f>
        <v/>
      </c>
      <c r="K16" s="28">
        <f>E16-G16-H16-I16</f>
        <v/>
      </c>
    </row>
    <row r="17">
      <c r="A17" s="10" t="inlineStr">
        <is>
          <t>B285</t>
        </is>
      </c>
      <c r="B17" s="1">
        <f>IFERROR(VLOOKUP('Oct-Dec25MHRequirement'!A17,'Oct25'!$A$4:$L$52,10,FALSE),0)</f>
        <v/>
      </c>
      <c r="C17" s="1">
        <f>IFERROR(VLOOKUP('Oct-Dec25MHRequirement'!A17,'Nov25 '!$A$4:$L$52,10,FALSE),0)</f>
        <v/>
      </c>
      <c r="D17" s="1">
        <f>IFERROR(VLOOKUP('Oct-Dec25MHRequirement'!A17,'Dec25'!$A$4:$L$52,10,FALSE),0)</f>
        <v/>
      </c>
      <c r="E17" s="1">
        <f>SUM(B17:D17)</f>
        <v/>
      </c>
      <c r="F17" s="1" t="n"/>
      <c r="G17" s="1">
        <f>IFERROR(VLOOKUP('Oct-Dec25MHRequirement'!A17,'Oct25'!$A$4:$L$52,11,FALSE),0)</f>
        <v/>
      </c>
      <c r="H17" s="1">
        <f>IFERROR(VLOOKUP('Oct-Dec25MHRequirement'!A17,'Nov25 '!A16:L64,11,FALSE),0)</f>
        <v/>
      </c>
      <c r="I17" s="1">
        <f>IFERROR(VLOOKUP('Oct-Dec25MHRequirement'!A17,'Dec25'!A16:L64,11,FALSE),0)</f>
        <v/>
      </c>
      <c r="K17" s="28">
        <f>E17-G17-H17-I17</f>
        <v/>
      </c>
    </row>
    <row r="18" ht="14.5" customHeight="1" s="125">
      <c r="A18" s="10" t="inlineStr">
        <is>
          <t>B297</t>
        </is>
      </c>
      <c r="B18" s="1">
        <f>IFERROR(VLOOKUP('Oct-Dec25MHRequirement'!A18,'Oct25'!$A$4:$L$52,10,FALSE),0)</f>
        <v/>
      </c>
      <c r="C18" s="1">
        <f>IFERROR(VLOOKUP('Oct-Dec25MHRequirement'!A18,'Nov25 '!$A$4:$L$52,10,FALSE),0)</f>
        <v/>
      </c>
      <c r="D18" s="1">
        <f>IFERROR(VLOOKUP('Oct-Dec25MHRequirement'!A18,'Dec25'!$A$4:$L$52,10,FALSE),0)</f>
        <v/>
      </c>
      <c r="E18" s="1">
        <f>SUM(B18:D18)</f>
        <v/>
      </c>
      <c r="F18" s="1" t="n"/>
      <c r="G18" s="1">
        <f>IFERROR(VLOOKUP('Oct-Dec25MHRequirement'!A18,'Oct25'!$A$4:$L$52,11,FALSE),0)</f>
        <v/>
      </c>
      <c r="H18" s="1">
        <f>IFERROR(VLOOKUP('Oct-Dec25MHRequirement'!A18,'Nov25 '!A17:L65,11,FALSE),0)</f>
        <v/>
      </c>
      <c r="I18" s="1">
        <f>IFERROR(VLOOKUP('Oct-Dec25MHRequirement'!A18,'Dec25'!A17:L65,11,FALSE),0)</f>
        <v/>
      </c>
      <c r="K18" s="28">
        <f>E18-G18-H18-I18</f>
        <v/>
      </c>
    </row>
    <row r="19">
      <c r="A19" s="10" t="inlineStr">
        <is>
          <t>B302</t>
        </is>
      </c>
      <c r="B19" s="1">
        <f>IFERROR(VLOOKUP('Oct-Dec25MHRequirement'!A19,'Oct25'!$A$4:$L$52,10,FALSE),0)</f>
        <v/>
      </c>
      <c r="C19" s="1">
        <f>IFERROR(VLOOKUP('Oct-Dec25MHRequirement'!A19,'Nov25 '!$A$4:$L$52,10,FALSE),0)</f>
        <v/>
      </c>
      <c r="D19" s="1">
        <f>IFERROR(VLOOKUP('Oct-Dec25MHRequirement'!A19,'Dec25'!$A$4:$L$52,10,FALSE),0)</f>
        <v/>
      </c>
      <c r="E19" s="1">
        <f>SUM(B19:D19)</f>
        <v/>
      </c>
      <c r="F19" s="1" t="n"/>
      <c r="G19" s="1">
        <f>IFERROR(VLOOKUP('Oct-Dec25MHRequirement'!A19,'Oct25'!$A$4:$L$52,11,FALSE),0)</f>
        <v/>
      </c>
      <c r="H19" s="1">
        <f>IFERROR(VLOOKUP('Oct-Dec25MHRequirement'!A19,'Nov25 '!A18:L66,11,FALSE),0)</f>
        <v/>
      </c>
      <c r="I19" s="1">
        <f>IFERROR(VLOOKUP('Oct-Dec25MHRequirement'!A19,'Dec25'!A18:L66,11,FALSE),0)</f>
        <v/>
      </c>
      <c r="K19" s="28">
        <f>E19-G19-H19-I19</f>
        <v/>
      </c>
    </row>
    <row r="20" ht="14.5" customHeight="1" s="125">
      <c r="A20" s="10" t="inlineStr">
        <is>
          <t>B348</t>
        </is>
      </c>
      <c r="B20" s="1">
        <f>IFERROR(VLOOKUP('Oct-Dec25MHRequirement'!A20,'Oct25'!$A$4:$L$52,10,FALSE),0)</f>
        <v/>
      </c>
      <c r="C20" s="1">
        <f>IFERROR(VLOOKUP('Oct-Dec25MHRequirement'!A20,'Nov25 '!$A$4:$L$52,10,FALSE),0)</f>
        <v/>
      </c>
      <c r="D20" s="1">
        <f>IFERROR(VLOOKUP('Oct-Dec25MHRequirement'!A20,'Dec25'!$A$4:$L$52,10,FALSE),0)</f>
        <v/>
      </c>
      <c r="E20" s="1">
        <f>SUM(B20:D20)</f>
        <v/>
      </c>
      <c r="F20" s="1" t="n"/>
      <c r="G20" s="1">
        <f>IFERROR(VLOOKUP('Oct-Dec25MHRequirement'!A20,'Oct25'!$A$4:$L$52,11,FALSE),0)</f>
        <v/>
      </c>
      <c r="H20" s="1">
        <f>IFERROR(VLOOKUP('Oct-Dec25MHRequirement'!A20,'Nov25 '!A19:L67,11,FALSE),0)</f>
        <v/>
      </c>
      <c r="I20" s="1">
        <f>IFERROR(VLOOKUP('Oct-Dec25MHRequirement'!A20,'Dec25'!A19:L67,11,FALSE),0)</f>
        <v/>
      </c>
      <c r="K20" s="28">
        <f>E20-G20-H20-I20</f>
        <v/>
      </c>
    </row>
    <row r="21">
      <c r="A21" s="10" t="inlineStr">
        <is>
          <t>B359</t>
        </is>
      </c>
      <c r="B21" s="1">
        <f>IFERROR(VLOOKUP('Oct-Dec25MHRequirement'!A21,'Oct25'!$A$4:$L$52,10,FALSE),0)</f>
        <v/>
      </c>
      <c r="C21" s="1">
        <f>IFERROR(VLOOKUP('Oct-Dec25MHRequirement'!A21,'Nov25 '!$A$4:$L$52,10,FALSE),0)</f>
        <v/>
      </c>
      <c r="D21" s="1">
        <f>IFERROR(VLOOKUP('Oct-Dec25MHRequirement'!A21,'Dec25'!$A$4:$L$52,10,FALSE),0)</f>
        <v/>
      </c>
      <c r="E21" s="1">
        <f>SUM(B21:D21)</f>
        <v/>
      </c>
      <c r="F21" s="1" t="n"/>
      <c r="G21" s="1">
        <f>IFERROR(VLOOKUP('Oct-Dec25MHRequirement'!A21,'Oct25'!$A$4:$L$52,11,FALSE),0)</f>
        <v/>
      </c>
      <c r="H21" s="1">
        <f>IFERROR(VLOOKUP('Oct-Dec25MHRequirement'!A21,'Nov25 '!A20:L68,11,FALSE),0)</f>
        <v/>
      </c>
      <c r="I21" s="1">
        <f>IFERROR(VLOOKUP('Oct-Dec25MHRequirement'!A21,'Dec25'!A20:L68,11,FALSE),0)</f>
        <v/>
      </c>
      <c r="K21" s="28">
        <f>E21-G21-H21-I21</f>
        <v/>
      </c>
    </row>
    <row r="22">
      <c r="A22" s="10" t="inlineStr">
        <is>
          <t>B378</t>
        </is>
      </c>
      <c r="B22" s="1">
        <f>IFERROR(VLOOKUP('Oct-Dec25MHRequirement'!A22,'Oct25'!$A$4:$L$52,10,FALSE),0)</f>
        <v/>
      </c>
      <c r="C22" s="1">
        <f>IFERROR(VLOOKUP('Oct-Dec25MHRequirement'!A22,'Nov25 '!$A$4:$L$52,10,FALSE),0)</f>
        <v/>
      </c>
      <c r="D22" s="1">
        <f>IFERROR(VLOOKUP('Oct-Dec25MHRequirement'!A22,'Dec25'!$A$4:$L$52,10,FALSE),0)</f>
        <v/>
      </c>
      <c r="E22" s="1">
        <f>SUM(B22:D22)</f>
        <v/>
      </c>
      <c r="F22" s="1" t="n"/>
      <c r="G22" s="1">
        <f>IFERROR(VLOOKUP('Oct-Dec25MHRequirement'!A22,'Oct25'!$A$4:$L$52,11,FALSE),0)</f>
        <v/>
      </c>
      <c r="H22" s="1">
        <f>IFERROR(VLOOKUP('Oct-Dec25MHRequirement'!A22,'Nov25 '!A21:L69,11,FALSE),0)</f>
        <v/>
      </c>
      <c r="I22" s="1">
        <f>IFERROR(VLOOKUP('Oct-Dec25MHRequirement'!A22,'Dec25'!A21:L69,11,FALSE),0)</f>
        <v/>
      </c>
      <c r="K22" s="28">
        <f>E22-G22-H22-I22</f>
        <v/>
      </c>
    </row>
    <row r="23">
      <c r="A23" s="10" t="inlineStr">
        <is>
          <t>B398</t>
        </is>
      </c>
      <c r="B23" s="1">
        <f>IFERROR(VLOOKUP('Oct-Dec25MHRequirement'!A23,'Oct25'!$A$4:$L$52,10,FALSE),0)</f>
        <v/>
      </c>
      <c r="C23" s="1">
        <f>IFERROR(VLOOKUP('Oct-Dec25MHRequirement'!A23,'Nov25 '!$A$4:$L$52,10,FALSE),0)</f>
        <v/>
      </c>
      <c r="D23" s="1">
        <f>IFERROR(VLOOKUP('Oct-Dec25MHRequirement'!A23,'Dec25'!$A$4:$L$52,10,FALSE),0)</f>
        <v/>
      </c>
      <c r="E23" s="1">
        <f>SUM(B23:D23)</f>
        <v/>
      </c>
      <c r="F23" s="1" t="n"/>
      <c r="G23" s="1">
        <f>IFERROR(VLOOKUP('Oct-Dec25MHRequirement'!A23,'Oct25'!$A$4:$L$52,11,FALSE),0)</f>
        <v/>
      </c>
      <c r="H23" s="1">
        <f>IFERROR(VLOOKUP('Oct-Dec25MHRequirement'!A23,'Nov25 '!A22:L70,11,FALSE),0)</f>
        <v/>
      </c>
      <c r="I23" s="1">
        <f>IFERROR(VLOOKUP('Oct-Dec25MHRequirement'!A23,'Dec25'!A22:L70,11,FALSE),0)</f>
        <v/>
      </c>
      <c r="K23" s="28">
        <f>E23-G23-H23-I23</f>
        <v/>
      </c>
    </row>
    <row r="24" ht="14.5" customHeight="1" s="125">
      <c r="A24" s="10" t="inlineStr">
        <is>
          <t>B414</t>
        </is>
      </c>
      <c r="B24" s="1">
        <f>IFERROR(VLOOKUP('Oct-Dec25MHRequirement'!A24,'Oct25'!$A$4:$L$52,10,FALSE),0)</f>
        <v/>
      </c>
      <c r="C24" s="1">
        <f>IFERROR(VLOOKUP('Oct-Dec25MHRequirement'!A24,'Nov25 '!$A$4:$L$52,10,FALSE),0)</f>
        <v/>
      </c>
      <c r="D24" s="1">
        <f>IFERROR(VLOOKUP('Oct-Dec25MHRequirement'!A24,'Dec25'!$A$4:$L$52,10,FALSE),0)</f>
        <v/>
      </c>
      <c r="E24" s="1">
        <f>SUM(B24:D24)</f>
        <v/>
      </c>
      <c r="F24" s="1" t="n"/>
      <c r="G24" s="1">
        <f>IFERROR(VLOOKUP('Oct-Dec25MHRequirement'!A24,'Oct25'!$A$4:$L$52,11,FALSE),0)</f>
        <v/>
      </c>
      <c r="H24" s="1">
        <f>IFERROR(VLOOKUP('Oct-Dec25MHRequirement'!A24,'Nov25 '!A22:L70,11,FALSE),0)</f>
        <v/>
      </c>
      <c r="I24" s="1">
        <f>IFERROR(VLOOKUP('Oct-Dec25MHRequirement'!A24,'Dec25'!A22:L70,11,FALSE),0)</f>
        <v/>
      </c>
      <c r="K24" s="28">
        <f>E24-G24-H24-I24</f>
        <v/>
      </c>
    </row>
    <row r="25">
      <c r="A25" s="10" t="inlineStr">
        <is>
          <t>B436</t>
        </is>
      </c>
      <c r="B25" s="1">
        <f>IFERROR(VLOOKUP('Oct-Dec25MHRequirement'!A25,'Oct25'!$A$4:$L$52,10,FALSE),0)</f>
        <v/>
      </c>
      <c r="C25" s="1">
        <f>IFERROR(VLOOKUP('Oct-Dec25MHRequirement'!A25,'Nov25 '!$A$4:$L$52,10,FALSE),0)</f>
        <v/>
      </c>
      <c r="D25" s="1">
        <f>IFERROR(VLOOKUP('Oct-Dec25MHRequirement'!A25,'Dec25'!$A$4:$L$52,10,FALSE),0)</f>
        <v/>
      </c>
      <c r="E25" s="1">
        <f>SUM(B25:D25)</f>
        <v/>
      </c>
      <c r="F25" s="1" t="n"/>
      <c r="G25" s="1">
        <f>IFERROR(VLOOKUP('Oct-Dec25MHRequirement'!A25,'Oct25'!$A$4:$L$52,11,FALSE),0)</f>
        <v/>
      </c>
      <c r="H25" s="1">
        <f>IFERROR(VLOOKUP('Oct-Dec25MHRequirement'!A25,'Nov25 '!A23:L71,11,FALSE),0)</f>
        <v/>
      </c>
      <c r="I25" s="1">
        <f>IFERROR(VLOOKUP('Oct-Dec25MHRequirement'!A25,'Dec25'!A23:L71,11,FALSE),0)</f>
        <v/>
      </c>
      <c r="K25" s="28">
        <f>E25-G25-H25-I25</f>
        <v/>
      </c>
    </row>
    <row r="26" ht="14.5" customHeight="1" s="125">
      <c r="A26" s="10" t="inlineStr">
        <is>
          <t>B440</t>
        </is>
      </c>
      <c r="B26" s="1">
        <f>IFERROR(VLOOKUP('Oct-Dec25MHRequirement'!A26,'Oct25'!$A$4:$L$52,10,FALSE),0)</f>
        <v/>
      </c>
      <c r="C26" s="1">
        <f>IFERROR(VLOOKUP('Oct-Dec25MHRequirement'!A26,'Nov25 '!$A$4:$L$52,10,FALSE),0)</f>
        <v/>
      </c>
      <c r="D26" s="1">
        <f>IFERROR(VLOOKUP('Oct-Dec25MHRequirement'!A26,'Dec25'!$A$4:$L$52,10,FALSE),0)</f>
        <v/>
      </c>
      <c r="E26" s="1">
        <f>SUM(B26:D26)</f>
        <v/>
      </c>
      <c r="F26" s="1" t="n"/>
      <c r="G26" s="1">
        <f>IFERROR(VLOOKUP('Oct-Dec25MHRequirement'!A26,'Oct25'!$A$4:$L$52,11,FALSE),0)</f>
        <v/>
      </c>
      <c r="H26" s="1">
        <f>IFERROR(VLOOKUP('Oct-Dec25MHRequirement'!A26,'Nov25 '!A24:L72,11,FALSE),0)</f>
        <v/>
      </c>
      <c r="I26" s="1">
        <f>IFERROR(VLOOKUP('Oct-Dec25MHRequirement'!A26,'Dec25'!A24:L72,11,FALSE),0)</f>
        <v/>
      </c>
      <c r="K26" s="28">
        <f>E26-G26-H26-I26</f>
        <v/>
      </c>
    </row>
    <row r="27" ht="14.5" customHeight="1" s="125">
      <c r="A27" s="10" t="inlineStr">
        <is>
          <t>B448</t>
        </is>
      </c>
      <c r="B27" s="1">
        <f>IFERROR(VLOOKUP('Oct-Dec25MHRequirement'!A27,'Oct25'!$A$4:$L$52,10,FALSE),0)</f>
        <v/>
      </c>
      <c r="C27" s="1">
        <f>IFERROR(VLOOKUP('Oct-Dec25MHRequirement'!A27,'Nov25 '!$A$4:$L$52,10,FALSE),0)</f>
        <v/>
      </c>
      <c r="D27" s="1">
        <f>IFERROR(VLOOKUP('Oct-Dec25MHRequirement'!A27,'Dec25'!$A$4:$L$52,10,FALSE),0)</f>
        <v/>
      </c>
      <c r="E27" s="1">
        <f>SUM(B27:D27)</f>
        <v/>
      </c>
      <c r="F27" s="1" t="n"/>
      <c r="G27" s="1">
        <f>IFERROR(VLOOKUP('Oct-Dec25MHRequirement'!A27,'Oct25'!$A$4:$L$52,11,FALSE),0)</f>
        <v/>
      </c>
      <c r="H27" s="1">
        <f>IFERROR(VLOOKUP('Oct-Dec25MHRequirement'!A27,'Nov25 '!A25:L73,11,FALSE),0)</f>
        <v/>
      </c>
      <c r="I27" s="1">
        <f>IFERROR(VLOOKUP('Oct-Dec25MHRequirement'!A27,'Dec25'!A25:L73,11,FALSE),0)</f>
        <v/>
      </c>
      <c r="K27" s="28">
        <f>E27-G27-H27-I27</f>
        <v/>
      </c>
    </row>
    <row r="28" ht="14.5" customHeight="1" s="125">
      <c r="A28" s="10" t="inlineStr">
        <is>
          <t>B519</t>
        </is>
      </c>
      <c r="B28" s="1">
        <f>IFERROR(VLOOKUP('Oct-Dec25MHRequirement'!A28,'Oct25'!$A$4:$L$52,10,FALSE),0)</f>
        <v/>
      </c>
      <c r="C28" s="1">
        <f>IFERROR(VLOOKUP('Oct-Dec25MHRequirement'!A28,'Nov25 '!$A$4:$L$52,10,FALSE),0)</f>
        <v/>
      </c>
      <c r="D28" s="1">
        <f>IFERROR(VLOOKUP('Oct-Dec25MHRequirement'!A28,'Dec25'!$A$4:$L$52,10,FALSE),0)</f>
        <v/>
      </c>
      <c r="E28" s="1">
        <f>SUM(B28:D28)</f>
        <v/>
      </c>
      <c r="F28" s="1" t="n"/>
      <c r="G28" s="1">
        <f>IFERROR(VLOOKUP('Oct-Dec25MHRequirement'!A28,'Oct25'!$A$4:$L$52,11,FALSE),0)</f>
        <v/>
      </c>
      <c r="H28" s="1">
        <f>IFERROR(VLOOKUP('Oct-Dec25MHRequirement'!A28,'Nov25 '!A26:L74,11,FALSE),0)</f>
        <v/>
      </c>
      <c r="I28" s="1">
        <f>IFERROR(VLOOKUP('Oct-Dec25MHRequirement'!A28,'Dec25'!A26:L74,11,FALSE),0)</f>
        <v/>
      </c>
      <c r="K28" s="28">
        <f>E28-G28-H28-I28</f>
        <v/>
      </c>
    </row>
    <row r="29" ht="14.5" customHeight="1" s="125">
      <c r="A29" s="10" t="inlineStr">
        <is>
          <t>B548</t>
        </is>
      </c>
      <c r="B29" s="1">
        <f>IFERROR(VLOOKUP('Oct-Dec25MHRequirement'!A29,'Oct25'!$A$4:$L$52,10,FALSE),0)</f>
        <v/>
      </c>
      <c r="C29" s="1">
        <f>IFERROR(VLOOKUP('Oct-Dec25MHRequirement'!A29,'Nov25 '!$A$4:$L$52,10,FALSE),0)</f>
        <v/>
      </c>
      <c r="D29" s="1">
        <f>IFERROR(VLOOKUP('Oct-Dec25MHRequirement'!A29,'Dec25'!$A$4:$L$52,10,FALSE),0)</f>
        <v/>
      </c>
      <c r="E29" s="1">
        <f>SUM(B29:D29)</f>
        <v/>
      </c>
      <c r="F29" s="1" t="n"/>
      <c r="G29" s="1">
        <f>IFERROR(VLOOKUP('Oct-Dec25MHRequirement'!A29,'Oct25'!$A$4:$L$52,11,FALSE),0)</f>
        <v/>
      </c>
      <c r="H29" s="1">
        <f>IFERROR(VLOOKUP('Oct-Dec25MHRequirement'!A29,'Nov25 '!A27:L75,11,FALSE),0)</f>
        <v/>
      </c>
      <c r="I29" s="1">
        <f>IFERROR(VLOOKUP('Oct-Dec25MHRequirement'!A29,'Dec25'!A27:L75,11,FALSE),0)</f>
        <v/>
      </c>
      <c r="K29" s="28">
        <f>E29-G29-H29-I29</f>
        <v/>
      </c>
    </row>
    <row r="30">
      <c r="A30" s="10" t="inlineStr">
        <is>
          <t>B559</t>
        </is>
      </c>
      <c r="B30" s="1">
        <f>IFERROR(VLOOKUP('Oct-Dec25MHRequirement'!A30,'Oct25'!$A$4:$L$52,10,FALSE),0)</f>
        <v/>
      </c>
      <c r="C30" s="1">
        <f>IFERROR(VLOOKUP('Oct-Dec25MHRequirement'!A30,'Nov25 '!$A$4:$L$52,10,FALSE),0)</f>
        <v/>
      </c>
      <c r="D30" s="1">
        <f>IFERROR(VLOOKUP('Oct-Dec25MHRequirement'!A30,'Dec25'!$A$4:$L$52,10,FALSE),0)</f>
        <v/>
      </c>
      <c r="E30" s="1">
        <f>SUM(B30:D30)</f>
        <v/>
      </c>
      <c r="F30" s="1" t="n"/>
      <c r="G30" s="1">
        <f>IFERROR(VLOOKUP('Oct-Dec25MHRequirement'!A30,'Oct25'!$A$4:$L$52,11,FALSE),0)</f>
        <v/>
      </c>
      <c r="H30" s="1">
        <f>IFERROR(VLOOKUP('Oct-Dec25MHRequirement'!A30,'Nov25 '!A28:L76,11,FALSE),0)</f>
        <v/>
      </c>
      <c r="I30" s="1">
        <f>IFERROR(VLOOKUP('Oct-Dec25MHRequirement'!A30,'Dec25'!A28:L76,11,FALSE),0)</f>
        <v/>
      </c>
      <c r="K30" s="28">
        <f>E30-G30-H30-I30</f>
        <v/>
      </c>
    </row>
    <row r="31">
      <c r="A31" s="10" t="inlineStr">
        <is>
          <t>B560</t>
        </is>
      </c>
      <c r="B31" s="1">
        <f>IFERROR(VLOOKUP('Oct-Dec25MHRequirement'!A31,'Oct25'!$A$4:$L$52,10,FALSE),0)</f>
        <v/>
      </c>
      <c r="C31" s="1">
        <f>IFERROR(VLOOKUP('Oct-Dec25MHRequirement'!A31,'Nov25 '!$A$4:$L$52,10,FALSE),0)</f>
        <v/>
      </c>
      <c r="D31" s="1">
        <f>IFERROR(VLOOKUP('Oct-Dec25MHRequirement'!A31,'Dec25'!$A$4:$L$52,10,FALSE),0)</f>
        <v/>
      </c>
      <c r="E31" s="1">
        <f>SUM(B31:D31)</f>
        <v/>
      </c>
      <c r="F31" s="1" t="n"/>
      <c r="G31" s="1">
        <f>IFERROR(VLOOKUP('Oct-Dec25MHRequirement'!A31,'Oct25'!$A$4:$L$52,11,FALSE),0)</f>
        <v/>
      </c>
      <c r="H31" s="1">
        <f>IFERROR(VLOOKUP('Oct-Dec25MHRequirement'!A31,'Nov25 '!A29:L77,11,FALSE),0)</f>
        <v/>
      </c>
      <c r="I31" s="1">
        <f>IFERROR(VLOOKUP('Oct-Dec25MHRequirement'!A31,'Dec25'!A29:L77,11,FALSE),0)</f>
        <v/>
      </c>
      <c r="K31" s="28">
        <f>E31-G31-H31-I31</f>
        <v/>
      </c>
    </row>
    <row r="32">
      <c r="A32" s="10" t="inlineStr">
        <is>
          <t>B571</t>
        </is>
      </c>
      <c r="B32" s="1">
        <f>IFERROR(VLOOKUP('Oct-Dec25MHRequirement'!A32,'Oct25'!$A$4:$L$52,10,FALSE),0)</f>
        <v/>
      </c>
      <c r="C32" s="1">
        <f>IFERROR(VLOOKUP('Oct-Dec25MHRequirement'!A32,'Nov25 '!$A$4:$L$52,10,FALSE),0)</f>
        <v/>
      </c>
      <c r="D32" s="1">
        <f>IFERROR(VLOOKUP('Oct-Dec25MHRequirement'!A32,'Dec25'!$A$4:$L$52,10,FALSE),0)</f>
        <v/>
      </c>
      <c r="E32" s="1">
        <f>SUM(B32:D32)</f>
        <v/>
      </c>
      <c r="F32" s="1" t="n"/>
      <c r="G32" s="1">
        <f>IFERROR(VLOOKUP('Oct-Dec25MHRequirement'!A32,'Oct25'!$A$4:$L$52,11,FALSE),0)</f>
        <v/>
      </c>
      <c r="H32" s="1">
        <f>IFERROR(VLOOKUP('Oct-Dec25MHRequirement'!A32,'Nov25 '!A30:L78,11,FALSE),0)</f>
        <v/>
      </c>
      <c r="I32" s="1">
        <f>IFERROR(VLOOKUP('Oct-Dec25MHRequirement'!A32,'Dec25'!A30:L78,11,FALSE),0)</f>
        <v/>
      </c>
      <c r="K32" s="28">
        <f>E32-G32-H32-I32</f>
        <v/>
      </c>
    </row>
    <row r="33" ht="14.5" customHeight="1" s="125">
      <c r="A33" s="10" t="inlineStr">
        <is>
          <t>B589</t>
        </is>
      </c>
      <c r="B33" s="1">
        <f>IFERROR(VLOOKUP('Oct-Dec25MHRequirement'!A33,'Oct25'!$A$4:$L$52,10,FALSE),0)</f>
        <v/>
      </c>
      <c r="C33" s="1">
        <f>IFERROR(VLOOKUP('Oct-Dec25MHRequirement'!A33,'Nov25 '!$A$4:$L$52,10,FALSE),0)</f>
        <v/>
      </c>
      <c r="D33" s="1">
        <f>IFERROR(VLOOKUP('Oct-Dec25MHRequirement'!A33,'Dec25'!$A$4:$L$52,10,FALSE),0)</f>
        <v/>
      </c>
      <c r="E33" s="1">
        <f>SUM(B33:D33)</f>
        <v/>
      </c>
      <c r="F33" s="1" t="n"/>
      <c r="G33" s="1">
        <f>IFERROR(VLOOKUP('Oct-Dec25MHRequirement'!A33,'Oct25'!$A$4:$L$52,11,FALSE),0)</f>
        <v/>
      </c>
      <c r="H33" s="1">
        <f>IFERROR(VLOOKUP('Oct-Dec25MHRequirement'!A33,'Nov25 '!A30:L78,11,FALSE),0)</f>
        <v/>
      </c>
      <c r="I33" s="1">
        <f>IFERROR(VLOOKUP('Oct-Dec25MHRequirement'!A33,'Dec25'!A30:L78,11,FALSE),0)</f>
        <v/>
      </c>
      <c r="K33" s="28">
        <f>E33-G33-H33-I33</f>
        <v/>
      </c>
    </row>
    <row r="34" ht="14.5" customHeight="1" s="125">
      <c r="A34" s="10" t="inlineStr">
        <is>
          <t>B650</t>
        </is>
      </c>
      <c r="B34" s="1">
        <f>IFERROR(VLOOKUP('Oct-Dec25MHRequirement'!A34,'Oct25'!$A$4:$L$52,10,FALSE),0)</f>
        <v/>
      </c>
      <c r="C34" s="1">
        <f>IFERROR(VLOOKUP('Oct-Dec25MHRequirement'!A34,'Nov25 '!$A$4:$L$52,10,FALSE),0)</f>
        <v/>
      </c>
      <c r="D34" s="1">
        <f>IFERROR(VLOOKUP('Oct-Dec25MHRequirement'!A34,'Dec25'!$A$4:$L$52,10,FALSE),0)</f>
        <v/>
      </c>
      <c r="E34" s="1">
        <f>SUM(B34:D34)</f>
        <v/>
      </c>
      <c r="F34" s="1" t="n"/>
      <c r="G34" s="1">
        <f>IFERROR(VLOOKUP('Oct-Dec25MHRequirement'!A34,'Oct25'!$A$4:$L$52,11,FALSE),0)</f>
        <v/>
      </c>
      <c r="H34" s="1">
        <f>IFERROR(VLOOKUP('Oct-Dec25MHRequirement'!A34,'Nov25 '!A31:L79,11,FALSE),0)</f>
        <v/>
      </c>
      <c r="I34" s="1">
        <f>IFERROR(VLOOKUP('Oct-Dec25MHRequirement'!A34,'Dec25'!A31:L79,11,FALSE),0)</f>
        <v/>
      </c>
      <c r="K34" s="28">
        <f>E34-G34-H34-I34</f>
        <v/>
      </c>
    </row>
    <row r="35" ht="14.5" customHeight="1" s="125">
      <c r="A35" s="10" t="inlineStr">
        <is>
          <t>B653</t>
        </is>
      </c>
      <c r="B35" s="1">
        <f>IFERROR(VLOOKUP('Oct-Dec25MHRequirement'!A35,'Oct25'!$A$4:$L$52,10,FALSE),0)</f>
        <v/>
      </c>
      <c r="C35" s="1">
        <f>IFERROR(VLOOKUP('Oct-Dec25MHRequirement'!A35,'Nov25 '!$A$4:$L$52,10,FALSE),0)</f>
        <v/>
      </c>
      <c r="D35" s="1">
        <f>IFERROR(VLOOKUP('Oct-Dec25MHRequirement'!A35,'Dec25'!$A$4:$L$52,10,FALSE),0)</f>
        <v/>
      </c>
      <c r="E35" s="1">
        <f>SUM(B35:D35)</f>
        <v/>
      </c>
      <c r="F35" s="1" t="n"/>
      <c r="G35" s="1">
        <f>IFERROR(VLOOKUP('Oct-Dec25MHRequirement'!A35,'Oct25'!$A$4:$L$52,11,FALSE),0)</f>
        <v/>
      </c>
      <c r="H35" s="1">
        <f>IFERROR(VLOOKUP('Oct-Dec25MHRequirement'!A35,'Nov25 '!A32:L80,11,FALSE),0)</f>
        <v/>
      </c>
      <c r="I35" s="1">
        <f>IFERROR(VLOOKUP('Oct-Dec25MHRequirement'!A35,'Dec25'!A32:L80,11,FALSE),0)</f>
        <v/>
      </c>
      <c r="K35" s="28">
        <f>E35-G35-H35-I35</f>
        <v/>
      </c>
    </row>
    <row r="36">
      <c r="A36" s="10" t="inlineStr">
        <is>
          <t>B725</t>
        </is>
      </c>
      <c r="B36" s="1">
        <f>IFERROR(VLOOKUP('Oct-Dec25MHRequirement'!A36,'Oct25'!$A$4:$L$52,10,FALSE),0)</f>
        <v/>
      </c>
      <c r="C36" s="1">
        <f>IFERROR(VLOOKUP('Oct-Dec25MHRequirement'!A36,'Nov25 '!$A$4:$L$52,10,FALSE),0)</f>
        <v/>
      </c>
      <c r="D36" s="1">
        <f>IFERROR(VLOOKUP('Oct-Dec25MHRequirement'!A36,'Dec25'!$A$4:$L$52,10,FALSE),0)</f>
        <v/>
      </c>
      <c r="E36" s="1">
        <f>SUM(B36:D36)</f>
        <v/>
      </c>
      <c r="F36" s="1" t="n"/>
      <c r="G36" s="1">
        <f>IFERROR(VLOOKUP('Oct-Dec25MHRequirement'!A36,'Oct25'!$A$4:$L$52,11,FALSE),0)</f>
        <v/>
      </c>
      <c r="H36" s="1">
        <f>IFERROR(VLOOKUP('Oct-Dec25MHRequirement'!A36,'Nov25 '!A33:L81,11,FALSE),0)</f>
        <v/>
      </c>
      <c r="I36" s="1">
        <f>IFERROR(VLOOKUP('Oct-Dec25MHRequirement'!A36,'Dec25'!A33:L81,11,FALSE),0)</f>
        <v/>
      </c>
      <c r="K36" s="28">
        <f>E36-G36-H36-I36</f>
        <v/>
      </c>
    </row>
    <row r="37" ht="14.5" customHeight="1" s="125">
      <c r="A37" s="10" t="inlineStr">
        <is>
          <t>B767</t>
        </is>
      </c>
      <c r="B37" s="1">
        <f>IFERROR(VLOOKUP('Oct-Dec25MHRequirement'!A37,'Oct25'!$A$4:$L$52,10,FALSE),0)</f>
        <v/>
      </c>
      <c r="C37" s="1">
        <f>IFERROR(VLOOKUP('Oct-Dec25MHRequirement'!A37,'Nov25 '!$A$4:$L$52,10,FALSE),0)</f>
        <v/>
      </c>
      <c r="D37" s="1">
        <f>IFERROR(VLOOKUP('Oct-Dec25MHRequirement'!A37,'Dec25'!$A$4:$L$52,10,FALSE),0)</f>
        <v/>
      </c>
      <c r="E37" s="1">
        <f>SUM(B37:D37)</f>
        <v/>
      </c>
      <c r="F37" s="1" t="n"/>
      <c r="G37" s="1">
        <f>IFERROR(VLOOKUP('Oct-Dec25MHRequirement'!A37,'Oct25'!$A$4:$L$52,11,FALSE),0)</f>
        <v/>
      </c>
      <c r="H37" s="1">
        <f>IFERROR(VLOOKUP('Oct-Dec25MHRequirement'!A37,'Nov25 '!A34:L82,11,FALSE),0)</f>
        <v/>
      </c>
      <c r="I37" s="1">
        <f>IFERROR(VLOOKUP('Oct-Dec25MHRequirement'!A37,'Dec25'!A34:L82,11,FALSE),0)</f>
        <v/>
      </c>
      <c r="K37" s="28">
        <f>E37-G37-H37-I37</f>
        <v/>
      </c>
    </row>
    <row r="38" ht="14.5" customHeight="1" s="125">
      <c r="A38" s="10" t="inlineStr">
        <is>
          <t>B795</t>
        </is>
      </c>
      <c r="B38" s="1">
        <f>IFERROR(VLOOKUP('Oct-Dec25MHRequirement'!A38,'Oct25'!$A$4:$L$52,10,FALSE),0)</f>
        <v/>
      </c>
      <c r="C38" s="1">
        <f>IFERROR(VLOOKUP('Oct-Dec25MHRequirement'!A38,'Nov25 '!$A$4:$L$52,10,FALSE),0)</f>
        <v/>
      </c>
      <c r="D38" s="1">
        <f>IFERROR(VLOOKUP('Oct-Dec25MHRequirement'!A38,'Dec25'!$A$4:$L$52,10,FALSE),0)</f>
        <v/>
      </c>
      <c r="E38" s="1">
        <f>SUM(B38:D38)</f>
        <v/>
      </c>
      <c r="F38" s="1" t="n"/>
      <c r="G38" s="1">
        <f>IFERROR(VLOOKUP('Oct-Dec25MHRequirement'!A38,'Oct25'!$A$4:$L$52,11,FALSE),0)</f>
        <v/>
      </c>
      <c r="H38" s="1">
        <f>IFERROR(VLOOKUP('Oct-Dec25MHRequirement'!A38,'Nov25 '!A35:L83,11,FALSE),0)</f>
        <v/>
      </c>
      <c r="I38" s="1">
        <f>IFERROR(VLOOKUP('Oct-Dec25MHRequirement'!A38,'Dec25'!A35:L83,11,FALSE),0)</f>
        <v/>
      </c>
      <c r="K38" s="28">
        <f>E38-G38-H38-I38</f>
        <v/>
      </c>
    </row>
    <row r="39">
      <c r="A39" s="10" t="inlineStr">
        <is>
          <t>B813</t>
        </is>
      </c>
      <c r="B39" s="1">
        <f>IFERROR(VLOOKUP('Oct-Dec25MHRequirement'!A39,'Oct25'!$A$4:$L$52,10,FALSE),0)</f>
        <v/>
      </c>
      <c r="C39" s="1">
        <f>IFERROR(VLOOKUP('Oct-Dec25MHRequirement'!A39,'Nov25 '!$A$4:$L$52,10,FALSE),0)</f>
        <v/>
      </c>
      <c r="D39" s="1">
        <f>IFERROR(VLOOKUP('Oct-Dec25MHRequirement'!A39,'Dec25'!$A$4:$L$52,10,FALSE),0)</f>
        <v/>
      </c>
      <c r="E39" s="1">
        <f>SUM(B39:D39)</f>
        <v/>
      </c>
      <c r="F39" s="1" t="n"/>
      <c r="G39" s="1">
        <f>IFERROR(VLOOKUP('Oct-Dec25MHRequirement'!A39,'Oct25'!$A$4:$L$52,11,FALSE),0)</f>
        <v/>
      </c>
      <c r="H39" s="1">
        <f>IFERROR(VLOOKUP('Oct-Dec25MHRequirement'!A39,'Nov25 '!A36:L84,11,FALSE),0)</f>
        <v/>
      </c>
      <c r="I39" s="1">
        <f>IFERROR(VLOOKUP('Oct-Dec25MHRequirement'!A39,'Dec25'!A36:L84,11,FALSE),0)</f>
        <v/>
      </c>
      <c r="K39" s="28">
        <f>E39-G39-H39-I39</f>
        <v/>
      </c>
    </row>
    <row r="40">
      <c r="A40" s="10" t="inlineStr">
        <is>
          <t>B860</t>
        </is>
      </c>
      <c r="B40" s="1">
        <f>IFERROR(VLOOKUP('Oct-Dec25MHRequirement'!A40,'Oct25'!$A$4:$L$52,10,FALSE),0)</f>
        <v/>
      </c>
      <c r="C40" s="1">
        <f>IFERROR(VLOOKUP('Oct-Dec25MHRequirement'!A40,'Nov25 '!$A$4:$L$52,10,FALSE),0)</f>
        <v/>
      </c>
      <c r="D40" s="1">
        <f>IFERROR(VLOOKUP('Oct-Dec25MHRequirement'!A40,'Dec25'!$A$4:$L$52,10,FALSE),0)</f>
        <v/>
      </c>
      <c r="E40" s="1">
        <f>SUM(B40:D40)</f>
        <v/>
      </c>
      <c r="F40" s="1" t="n"/>
      <c r="G40" s="1">
        <f>IFERROR(VLOOKUP('Oct-Dec25MHRequirement'!A40,'Oct25'!$A$4:$L$52,11,FALSE),0)</f>
        <v/>
      </c>
      <c r="H40" s="1">
        <f>IFERROR(VLOOKUP('Oct-Dec25MHRequirement'!A40,'Nov25 '!A37:L85,11,FALSE),0)</f>
        <v/>
      </c>
      <c r="I40" s="1">
        <f>IFERROR(VLOOKUP('Oct-Dec25MHRequirement'!A40,'Dec25'!A37:L85,11,FALSE),0)</f>
        <v/>
      </c>
      <c r="K40" s="28">
        <f>E40-G40-H40-I40</f>
        <v/>
      </c>
    </row>
    <row r="41">
      <c r="A41" s="10" t="inlineStr">
        <is>
          <t>B861</t>
        </is>
      </c>
      <c r="B41" s="1">
        <f>IFERROR(VLOOKUP('Oct-Dec25MHRequirement'!A41,'Oct25'!$A$4:$L$52,10,FALSE),0)</f>
        <v/>
      </c>
      <c r="C41" s="1">
        <f>IFERROR(VLOOKUP('Oct-Dec25MHRequirement'!A41,'Nov25 '!$A$4:$L$52,10,FALSE),0)</f>
        <v/>
      </c>
      <c r="D41" s="1">
        <f>IFERROR(VLOOKUP('Oct-Dec25MHRequirement'!A41,'Dec25'!$A$4:$L$52,10,FALSE),0)</f>
        <v/>
      </c>
      <c r="E41" s="1">
        <f>SUM(B41:D41)</f>
        <v/>
      </c>
      <c r="F41" s="1" t="n"/>
      <c r="G41" s="1">
        <f>IFERROR(VLOOKUP('Oct-Dec25MHRequirement'!A41,'Oct25'!$A$4:$L$52,11,FALSE),0)</f>
        <v/>
      </c>
      <c r="H41" s="1">
        <f>IFERROR(VLOOKUP('Oct-Dec25MHRequirement'!A41,'Nov25 '!A38:L86,11,FALSE),0)</f>
        <v/>
      </c>
      <c r="I41" s="1">
        <f>IFERROR(VLOOKUP('Oct-Dec25MHRequirement'!A41,'Dec25'!A38:L86,11,FALSE),0)</f>
        <v/>
      </c>
      <c r="K41" s="28">
        <f>E41-G41-H41-I41</f>
        <v/>
      </c>
    </row>
    <row r="42">
      <c r="A42" s="10" t="inlineStr">
        <is>
          <t>B862</t>
        </is>
      </c>
      <c r="B42" s="1">
        <f>IFERROR(VLOOKUP('Oct-Dec25MHRequirement'!A42,'Oct25'!$A$4:$L$52,10,FALSE),0)</f>
        <v/>
      </c>
      <c r="C42" s="1">
        <f>IFERROR(VLOOKUP('Oct-Dec25MHRequirement'!A42,'Nov25 '!$A$4:$L$52,10,FALSE),0)</f>
        <v/>
      </c>
      <c r="D42" s="1">
        <f>IFERROR(VLOOKUP('Oct-Dec25MHRequirement'!A42,'Dec25'!$A$4:$L$52,10,FALSE),0)</f>
        <v/>
      </c>
      <c r="E42" s="1">
        <f>SUM(B42:D42)</f>
        <v/>
      </c>
      <c r="F42" s="1" t="n"/>
      <c r="G42" s="1" t="n">
        <v>10</v>
      </c>
      <c r="H42" s="1" t="n">
        <v>26</v>
      </c>
      <c r="I42" s="1" t="n">
        <v>22</v>
      </c>
      <c r="K42" s="28">
        <f>E42-G42-H42-I42</f>
        <v/>
      </c>
    </row>
    <row r="43">
      <c r="A43" s="10" t="inlineStr">
        <is>
          <t>B865</t>
        </is>
      </c>
      <c r="B43" s="1">
        <f>IFERROR(VLOOKUP('Oct-Dec25MHRequirement'!A43,'Oct25'!$A$4:$L$52,10,FALSE),0)</f>
        <v/>
      </c>
      <c r="C43" s="1">
        <f>IFERROR(VLOOKUP('Oct-Dec25MHRequirement'!A43,'Nov25 '!$A$4:$L$52,10,FALSE),0)</f>
        <v/>
      </c>
      <c r="D43" s="1">
        <f>IFERROR(VLOOKUP('Oct-Dec25MHRequirement'!A43,'Dec25'!$A$4:$L$52,10,FALSE),0)</f>
        <v/>
      </c>
      <c r="E43" s="1">
        <f>SUM(B43:D43)</f>
        <v/>
      </c>
      <c r="F43" s="1" t="n"/>
      <c r="G43" s="1">
        <f>IFERROR(VLOOKUP('Oct-Dec25MHRequirement'!A43,'Oct25'!$A$4:$L$52,11,FALSE),0)</f>
        <v/>
      </c>
      <c r="H43" s="1">
        <f>IFERROR(VLOOKUP('Oct-Dec25MHRequirement'!A43,'Nov25 '!A40:L88,11,FALSE),0)</f>
        <v/>
      </c>
      <c r="I43" s="1">
        <f>IFERROR(VLOOKUP('Oct-Dec25MHRequirement'!A43,'Dec25'!A40:L88,11,FALSE),0)</f>
        <v/>
      </c>
      <c r="K43" s="28">
        <f>E43-G43-H43-I43</f>
        <v/>
      </c>
    </row>
    <row r="44">
      <c r="A44" s="10" t="inlineStr">
        <is>
          <t>B889</t>
        </is>
      </c>
      <c r="B44" s="1">
        <f>IFERROR(VLOOKUP('Oct-Dec25MHRequirement'!A44,'Oct25'!$A$4:$L$52,10,FALSE),0)</f>
        <v/>
      </c>
      <c r="C44" s="1">
        <f>IFERROR(VLOOKUP('Oct-Dec25MHRequirement'!A44,'Nov25 '!$A$4:$L$52,10,FALSE),0)</f>
        <v/>
      </c>
      <c r="D44" s="1">
        <f>IFERROR(VLOOKUP('Oct-Dec25MHRequirement'!A44,'Dec25'!$A$4:$L$52,10,FALSE),0)</f>
        <v/>
      </c>
      <c r="E44" s="1">
        <f>SUM(B44:D44)</f>
        <v/>
      </c>
      <c r="F44" s="1" t="n"/>
      <c r="G44" s="1">
        <f>IFERROR(VLOOKUP('Oct-Dec25MHRequirement'!A44,'Oct25'!$A$4:$L$52,11,FALSE),0)</f>
        <v/>
      </c>
      <c r="H44" s="1">
        <f>IFERROR(VLOOKUP('Oct-Dec25MHRequirement'!A44,'Nov25 '!A41:L89,11,FALSE),0)</f>
        <v/>
      </c>
      <c r="I44" s="1">
        <f>IFERROR(VLOOKUP('Oct-Dec25MHRequirement'!A44,'Dec25'!A41:L89,11,FALSE),0)</f>
        <v/>
      </c>
      <c r="K44" s="28">
        <f>E44-G44-H44-I44</f>
        <v/>
      </c>
    </row>
    <row r="45">
      <c r="A45" s="10" t="inlineStr">
        <is>
          <t>B895</t>
        </is>
      </c>
      <c r="B45" s="1">
        <f>IFERROR(VLOOKUP('Oct-Dec25MHRequirement'!A45,'Oct25'!$A$4:$L$52,10,FALSE),0)</f>
        <v/>
      </c>
      <c r="C45" s="1">
        <f>IFERROR(VLOOKUP('Oct-Dec25MHRequirement'!A45,'Nov25 '!$A$4:$L$52,10,FALSE),0)</f>
        <v/>
      </c>
      <c r="D45" s="1">
        <f>IFERROR(VLOOKUP('Oct-Dec25MHRequirement'!A45,'Dec25'!$A$4:$L$52,10,FALSE),0)</f>
        <v/>
      </c>
      <c r="E45" s="1">
        <f>SUM(B45:D45)</f>
        <v/>
      </c>
      <c r="F45" s="1" t="n"/>
      <c r="G45" s="1">
        <f>IFERROR(VLOOKUP('Oct-Dec25MHRequirement'!A45,'Oct25'!$A$4:$L$52,11,FALSE),0)</f>
        <v/>
      </c>
      <c r="H45" s="1">
        <f>IFERROR(VLOOKUP('Oct-Dec25MHRequirement'!A45,'Nov25 '!A42:L90,11,FALSE),0)</f>
        <v/>
      </c>
      <c r="I45" s="1" t="n">
        <v>6</v>
      </c>
      <c r="K45" s="28">
        <f>E45-G45-H45-I45</f>
        <v/>
      </c>
    </row>
    <row r="46">
      <c r="A46" s="10" t="inlineStr">
        <is>
          <t>B903</t>
        </is>
      </c>
      <c r="B46" s="1">
        <f>IFERROR(VLOOKUP('Oct-Dec25MHRequirement'!A46,'Oct25'!$A$4:$L$52,10,FALSE),0)</f>
        <v/>
      </c>
      <c r="C46" s="1">
        <f>IFERROR(VLOOKUP('Oct-Dec25MHRequirement'!A46,'Nov25 '!$A$4:$L$52,10,FALSE),0)</f>
        <v/>
      </c>
      <c r="D46" s="1">
        <f>IFERROR(VLOOKUP('Oct-Dec25MHRequirement'!A46,'Dec25'!$A$4:$L$52,10,FALSE),0)</f>
        <v/>
      </c>
      <c r="E46" s="1">
        <f>SUM(B46:D46)</f>
        <v/>
      </c>
      <c r="F46" s="1" t="n"/>
      <c r="G46" s="1">
        <f>IFERROR(VLOOKUP('Oct-Dec25MHRequirement'!A46,'Oct25'!$A$4:$L$52,11,FALSE),0)</f>
        <v/>
      </c>
      <c r="H46" s="1">
        <f>IFERROR(VLOOKUP('Oct-Dec25MHRequirement'!A46,'Nov25 '!A43:L91,11,FALSE),0)</f>
        <v/>
      </c>
      <c r="I46" s="1">
        <f>IFERROR(VLOOKUP('Oct-Dec25MHRequirement'!A46,'Dec25'!A43:L91,11,FALSE),0)</f>
        <v/>
      </c>
      <c r="K46" s="28">
        <f>E46-G46-H46-I46</f>
        <v/>
      </c>
    </row>
    <row r="47">
      <c r="A47" s="10" t="inlineStr">
        <is>
          <t>B904</t>
        </is>
      </c>
      <c r="B47" s="1">
        <f>IFERROR(VLOOKUP('Oct-Dec25MHRequirement'!A47,'Oct25'!$A$4:$L$52,10,FALSE),0)</f>
        <v/>
      </c>
      <c r="C47" s="1">
        <f>IFERROR(VLOOKUP('Oct-Dec25MHRequirement'!A47,'Nov25 '!$A$4:$L$52,10,FALSE),0)</f>
        <v/>
      </c>
      <c r="D47" s="1">
        <f>IFERROR(VLOOKUP('Oct-Dec25MHRequirement'!A47,'Dec25'!$A$4:$L$52,10,FALSE),0)</f>
        <v/>
      </c>
      <c r="E47" s="1">
        <f>SUM(B47:D47)</f>
        <v/>
      </c>
      <c r="G47" s="1">
        <f>IFERROR(VLOOKUP('Oct-Dec25MHRequirement'!A47,'Oct25'!$A$4:$L$52,11,FALSE),0)</f>
        <v/>
      </c>
      <c r="H47" s="1">
        <f>IFERROR(VLOOKUP('Oct-Dec25MHRequirement'!A47,'Nov25 '!A44:L92,11,FALSE),0)</f>
        <v/>
      </c>
      <c r="I47" s="1">
        <f>IFERROR(VLOOKUP('Oct-Dec25MHRequirement'!A47,'Dec25'!A44:L92,11,FALSE),0)</f>
        <v/>
      </c>
      <c r="K47" s="28">
        <f>E47-G47-H47-I47</f>
        <v/>
      </c>
      <c r="P47" t="inlineStr">
        <is>
          <t xml:space="preserve"> </t>
        </is>
      </c>
    </row>
    <row r="48">
      <c r="A48" s="10" t="inlineStr">
        <is>
          <t>B933</t>
        </is>
      </c>
      <c r="B48" s="1">
        <f>IFERROR(VLOOKUP('Oct-Dec25MHRequirement'!A48,'Oct25'!$A$4:$L$52,10,FALSE),0)</f>
        <v/>
      </c>
      <c r="C48" s="1">
        <f>IFERROR(VLOOKUP('Oct-Dec25MHRequirement'!A48,'Nov25 '!$A$4:$L$52,10,FALSE),0)</f>
        <v/>
      </c>
      <c r="D48" s="1">
        <f>IFERROR(VLOOKUP('Oct-Dec25MHRequirement'!A48,'Dec25'!$A$4:$L$52,10,FALSE),0)</f>
        <v/>
      </c>
      <c r="E48" s="1">
        <f>SUM(B48:D48)</f>
        <v/>
      </c>
      <c r="G48" s="1">
        <f>IFERROR(VLOOKUP('Oct-Dec25MHRequirement'!A48,'Oct25'!$A$4:$L$52,11,FALSE),0)</f>
        <v/>
      </c>
      <c r="H48" s="1">
        <f>IFERROR(VLOOKUP('Oct-Dec25MHRequirement'!A48,'Nov25 '!A45:L93,11,FALSE),0)</f>
        <v/>
      </c>
      <c r="I48" s="1">
        <f>IFERROR(VLOOKUP('Oct-Dec25MHRequirement'!A48,'Dec25'!A45:L93,11,FALSE),0)</f>
        <v/>
      </c>
      <c r="K48" s="28">
        <f>E48-G48-H48-I48</f>
        <v/>
      </c>
    </row>
    <row r="49">
      <c r="A49" s="10" t="inlineStr">
        <is>
          <t>B943</t>
        </is>
      </c>
      <c r="B49" s="1">
        <f>IFERROR(VLOOKUP('Oct-Dec25MHRequirement'!A49,'Oct25'!$A$4:$L$52,10,FALSE),0)</f>
        <v/>
      </c>
      <c r="C49" s="1">
        <f>IFERROR(VLOOKUP('Oct-Dec25MHRequirement'!A49,'Nov25 '!$A$4:$L$52,10,FALSE),0)</f>
        <v/>
      </c>
      <c r="D49" s="1">
        <f>IFERROR(VLOOKUP('Oct-Dec25MHRequirement'!A49,'Dec25'!$A$4:$L$52,10,FALSE),0)</f>
        <v/>
      </c>
      <c r="E49" s="1">
        <f>SUM(B49:D49)</f>
        <v/>
      </c>
      <c r="G49" s="1">
        <f>IFERROR(VLOOKUP('Oct-Dec25MHRequirement'!A49,'Oct25'!$A$4:$L$52,11,FALSE),0)</f>
        <v/>
      </c>
      <c r="H49" s="1">
        <f>IFERROR(VLOOKUP('Oct-Dec25MHRequirement'!A49,'Nov25 '!A46:L94,11,FALSE),0)</f>
        <v/>
      </c>
      <c r="I49" s="1">
        <f>IFERROR(VLOOKUP('Oct-Dec25MHRequirement'!A49,'Dec25'!A46:L94,11,FALSE),0)</f>
        <v/>
      </c>
      <c r="K49" s="28">
        <f>E49-G49-H49-I49</f>
        <v/>
      </c>
    </row>
    <row r="50">
      <c r="A50" s="10" t="inlineStr">
        <is>
          <t>B957</t>
        </is>
      </c>
      <c r="B50" s="1">
        <f>IFERROR(VLOOKUP('Oct-Dec25MHRequirement'!A50,'Oct25'!$A$4:$L$52,10,FALSE),0)</f>
        <v/>
      </c>
      <c r="C50" s="1">
        <f>IFERROR(VLOOKUP('Oct-Dec25MHRequirement'!A50,'Nov25 '!$A$4:$L$52,10,FALSE),0)</f>
        <v/>
      </c>
      <c r="D50" s="1">
        <f>IFERROR(VLOOKUP('Oct-Dec25MHRequirement'!A50,'Dec25'!$A$4:$L$52,10,FALSE),0)</f>
        <v/>
      </c>
      <c r="E50" s="1">
        <f>SUM(B50:D50)</f>
        <v/>
      </c>
      <c r="G50" s="1">
        <f>IFERROR(VLOOKUP('Oct-Dec25MHRequirement'!A50,'Oct25'!$A$4:$L$52,11,FALSE),0)</f>
        <v/>
      </c>
      <c r="H50" s="1">
        <f>IFERROR(VLOOKUP('Oct-Dec25MHRequirement'!A50,'Nov25 '!A47:L95,11,FALSE),0)</f>
        <v/>
      </c>
      <c r="I50" s="1">
        <f>IFERROR(VLOOKUP('Oct-Dec25MHRequirement'!A50,'Dec25'!A47:L95,11,FALSE),0)</f>
        <v/>
      </c>
      <c r="K50" s="28">
        <f>E50-G50-H50-I50</f>
        <v/>
      </c>
    </row>
    <row r="51">
      <c r="A51" s="10" t="inlineStr">
        <is>
          <t>C007</t>
        </is>
      </c>
      <c r="B51" s="1">
        <f>IFERROR(VLOOKUP('Oct-Dec25MHRequirement'!A51,'Oct25'!$A$4:$L$52,10,FALSE),0)</f>
        <v/>
      </c>
      <c r="C51" s="1">
        <f>IFERROR(VLOOKUP('Oct-Dec25MHRequirement'!A51,'Nov25 '!$A$4:$L$52,10,FALSE),0)</f>
        <v/>
      </c>
      <c r="D51" s="1">
        <f>IFERROR(VLOOKUP('Oct-Dec25MHRequirement'!A51,'Dec25'!$A$4:$L$52,10,FALSE),0)</f>
        <v/>
      </c>
      <c r="E51" s="1">
        <f>SUM(B51:D51)</f>
        <v/>
      </c>
      <c r="G51" s="1">
        <f>IFERROR(VLOOKUP('Oct-Dec25MHRequirement'!A51,'Oct25'!$A$4:$L$52,11,FALSE),0)</f>
        <v/>
      </c>
      <c r="H51" s="1">
        <f>IFERROR(VLOOKUP('Oct-Dec25MHRequirement'!A51,'Nov25 '!A48:L96,11,FALSE),0)</f>
        <v/>
      </c>
      <c r="I51" s="1">
        <f>IFERROR(VLOOKUP('Oct-Dec25MHRequirement'!A51,'Dec25'!A48:L96,11,FALSE),0)</f>
        <v/>
      </c>
      <c r="K51" s="28">
        <f>E51-G51-H51-I51</f>
        <v/>
      </c>
    </row>
    <row r="52">
      <c r="A52" s="10" t="inlineStr">
        <is>
          <t>C028</t>
        </is>
      </c>
      <c r="B52" s="1">
        <f>IFERROR(VLOOKUP('Oct-Dec25MHRequirement'!A52,'Oct25'!$A$4:$L$52,10,FALSE),0)</f>
        <v/>
      </c>
      <c r="C52" s="1">
        <f>IFERROR(VLOOKUP('Oct-Dec25MHRequirement'!A52,'Nov25 '!$A$4:$L$52,10,FALSE),0)</f>
        <v/>
      </c>
      <c r="D52" s="1">
        <f>IFERROR(VLOOKUP('Oct-Dec25MHRequirement'!A52,'Dec25'!$A$4:$L$52,10,FALSE),0)</f>
        <v/>
      </c>
      <c r="E52" s="1">
        <f>SUM(B52:D52)</f>
        <v/>
      </c>
      <c r="G52" s="1">
        <f>IFERROR(VLOOKUP('Oct-Dec25MHRequirement'!A52,'Oct25'!$A$4:$L$52,11,FALSE),0)</f>
        <v/>
      </c>
      <c r="H52" s="1">
        <f>IFERROR(VLOOKUP('Oct-Dec25MHRequirement'!A52,'Nov25 '!A49:L97,11,FALSE),0)</f>
        <v/>
      </c>
      <c r="I52" s="1">
        <f>IFERROR(VLOOKUP('Oct-Dec25MHRequirement'!A52,'Dec25'!A49:L97,11,FALSE),0)</f>
        <v/>
      </c>
      <c r="K52" s="28">
        <f>E52-G52-H52-I52</f>
        <v/>
      </c>
    </row>
    <row r="53">
      <c r="A53" s="3" t="n"/>
    </row>
    <row r="54">
      <c r="A54" s="3" t="n"/>
    </row>
  </sheetData>
  <autoFilter ref="A3:K52"/>
  <mergeCells count="1">
    <mergeCell ref="M3:O3"/>
  </mergeCells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tabColor theme="0"/>
    <outlinePr summaryBelow="1" summaryRight="1"/>
    <pageSetUpPr/>
  </sheetPr>
  <dimension ref="A1:S70"/>
  <sheetViews>
    <sheetView topLeftCell="A15" zoomScale="83" zoomScaleNormal="83" workbookViewId="0">
      <selection activeCell="S15" sqref="S15"/>
    </sheetView>
  </sheetViews>
  <sheetFormatPr baseColWidth="8" defaultRowHeight="14.5"/>
  <cols>
    <col width="12.453125" customWidth="1" style="4" min="1" max="1"/>
    <col width="10.54296875" customWidth="1" style="125" min="2" max="4"/>
    <col width="17.08984375" customWidth="1" style="125" min="11" max="11"/>
    <col width="15" customWidth="1" style="125" min="15" max="17"/>
  </cols>
  <sheetData>
    <row r="1">
      <c r="A1" s="118" t="inlineStr">
        <is>
          <t>Consolidated man hour requirement  for Jan'26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2" t="n"/>
      <c r="L1" s="94" t="n"/>
    </row>
    <row r="2">
      <c r="A2" s="52">
        <f>(18*8*5)</f>
        <v/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2" t="n"/>
      <c r="L2" s="1" t="n"/>
      <c r="M2" s="111" t="n"/>
      <c r="N2" s="111" t="n"/>
      <c r="O2" s="112" t="n"/>
    </row>
    <row r="3" ht="41.25" customHeight="1" s="125">
      <c r="A3" s="3" t="inlineStr">
        <is>
          <t>Job No</t>
        </is>
      </c>
      <c r="B3" s="3" t="inlineStr">
        <is>
          <t>No. of Running orders</t>
        </is>
      </c>
      <c r="C3" s="3" t="inlineStr">
        <is>
          <t>Orders for FD f/up</t>
        </is>
      </c>
      <c r="D3" s="3" t="inlineStr">
        <is>
          <t>OCS done</t>
        </is>
      </c>
      <c r="E3" s="3" t="inlineStr">
        <is>
          <t>Exp.</t>
        </is>
      </c>
      <c r="F3" s="3" t="inlineStr">
        <is>
          <t>Inspn</t>
        </is>
      </c>
      <c r="G3" s="9" t="inlineStr">
        <is>
          <t>Others</t>
        </is>
      </c>
      <c r="H3" s="3" t="inlineStr">
        <is>
          <t>Total</t>
        </is>
      </c>
      <c r="I3" s="1" t="inlineStr">
        <is>
          <t>*Others/ Remarks</t>
        </is>
      </c>
      <c r="J3" s="111" t="n"/>
      <c r="K3" s="112" t="n"/>
      <c r="L3" s="110" t="inlineStr">
        <is>
          <t>Insp/ Project Coordinators</t>
        </is>
      </c>
      <c r="M3" s="111" t="n"/>
      <c r="N3" s="111" t="n"/>
      <c r="O3" s="112" t="n"/>
      <c r="P3" s="2" t="inlineStr">
        <is>
          <t xml:space="preserve">MH available as on </t>
        </is>
      </c>
      <c r="Q3" s="5" t="inlineStr">
        <is>
          <t>MH to be released for Jan'26</t>
        </is>
      </c>
      <c r="R3" t="inlineStr">
        <is>
          <t>Allotted</t>
        </is>
      </c>
      <c r="S3" t="inlineStr">
        <is>
          <t>8518 reqd</t>
        </is>
      </c>
    </row>
    <row r="4" ht="51.5" customHeight="1" s="125">
      <c r="A4" s="3" t="n">
        <v>4994</v>
      </c>
      <c r="B4" s="3" t="n">
        <v>0</v>
      </c>
      <c r="C4" s="3" t="n"/>
      <c r="D4" s="3" t="n"/>
      <c r="E4" s="3" t="n"/>
      <c r="F4" s="3" t="n"/>
      <c r="G4" s="9">
        <f>8*2</f>
        <v/>
      </c>
      <c r="H4" s="3">
        <f>SUM(E4:G4)</f>
        <v/>
      </c>
      <c r="I4" s="62" t="inlineStr">
        <is>
          <t>Enl: ;Reval:Alleima &amp; KEC International;Enh:</t>
        </is>
      </c>
      <c r="J4" s="63" t="n"/>
      <c r="K4" s="64" t="n"/>
      <c r="L4" s="110" t="inlineStr">
        <is>
          <t>Rajesh Sinha</t>
        </is>
      </c>
      <c r="M4" s="111" t="n"/>
      <c r="N4" s="111" t="n"/>
      <c r="O4" s="112" t="n"/>
      <c r="P4" s="3" t="n">
        <v>0</v>
      </c>
      <c r="Q4" s="3">
        <f>H4-P4</f>
        <v/>
      </c>
      <c r="R4" t="n">
        <v>0</v>
      </c>
      <c r="S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11/7[4326];32mh rel on 1/1[4550];16h rel on 9/2[4556]</t>
        </is>
      </c>
    </row>
    <row r="5" ht="46" customHeight="1" s="125">
      <c r="A5" s="3" t="n">
        <v>6979</v>
      </c>
      <c r="B5" s="3" t="n"/>
      <c r="C5" s="3" t="n"/>
      <c r="D5" s="3" t="n"/>
      <c r="E5" s="3" t="n"/>
      <c r="F5" s="3" t="n"/>
      <c r="G5" s="9" t="n"/>
      <c r="H5" s="3" t="n">
        <v>0</v>
      </c>
      <c r="I5" s="56" t="n"/>
      <c r="J5" s="56" t="n"/>
      <c r="K5" s="56" t="n"/>
      <c r="L5" s="110" t="n"/>
      <c r="M5" s="111" t="n"/>
      <c r="N5" s="111" t="n"/>
      <c r="O5" s="112" t="n"/>
      <c r="P5" s="3" t="n"/>
      <c r="Q5" s="3" t="n"/>
      <c r="S5" t="inlineStr">
        <is>
          <t>60h rel on 14/10 against MH for Vert. B; 36h rel on 8/1 in lieu of B302 [96];in lieu of B302106 mh rel against 6979 on 21/4 (for Jan/Feb/Mar) 6979-[202]</t>
        </is>
      </c>
    </row>
    <row r="6" ht="50.5" customHeight="1" s="125">
      <c r="A6" s="3" t="n">
        <v>7716</v>
      </c>
      <c r="B6" s="3" t="n"/>
      <c r="C6" s="3" t="n"/>
      <c r="D6" s="3" t="n"/>
      <c r="E6" s="3" t="n"/>
      <c r="F6" s="3" t="n">
        <v>16</v>
      </c>
      <c r="G6" s="9">
        <f>8*0</f>
        <v/>
      </c>
      <c r="H6" s="3">
        <f>SUM(E6:G6)</f>
        <v/>
      </c>
      <c r="I6" s="62" t="inlineStr">
        <is>
          <t>Godrej Bus Duct Insp- 23/1,2/2</t>
        </is>
      </c>
      <c r="J6" s="63" t="n"/>
      <c r="K6" s="64" t="n"/>
      <c r="L6" s="110" t="inlineStr">
        <is>
          <t>Sanjeev Kumar/ Yatendra Agrawal - EIB Renovation</t>
        </is>
      </c>
      <c r="M6" s="111" t="n"/>
      <c r="N6" s="111" t="n"/>
      <c r="O6" s="112" t="n"/>
      <c r="P6" s="3" t="n"/>
      <c r="Q6" s="3" t="n"/>
      <c r="R6" t="inlineStr">
        <is>
          <t>16h rel on 9/4 against Climaveneta order referred in 8590 above [28];16h rel on 11/2[44]</t>
        </is>
      </c>
    </row>
    <row r="7" ht="123" customHeight="1" s="125">
      <c r="A7" s="3" t="n">
        <v>8518</v>
      </c>
      <c r="B7" s="3" t="n">
        <v>0</v>
      </c>
      <c r="C7" s="3" t="n"/>
      <c r="D7" s="3" t="n"/>
      <c r="E7" s="3" t="n">
        <v>0</v>
      </c>
      <c r="F7" s="3" t="n">
        <v>0</v>
      </c>
      <c r="G7" s="9" t="n"/>
      <c r="H7" s="3" t="n">
        <v>200</v>
      </c>
      <c r="I7" s="62" t="inlineStr">
        <is>
          <t>Admin works,Insp Guidelines/Typ Test review/ITP revision(Mech &amp; E&amp;I ITPS)/KM - Discussions; BD,other miscellaneous works incl.  Hosp Nomination;Capex Requirements for Off. &amp; GH, Vehicle Hiring Contract;Dept. ,QM mtgs etc.{262h avl. In 8518 as on 18/2[21900]}</t>
        </is>
      </c>
      <c r="J7" s="63" t="n"/>
      <c r="K7" s="64" t="n"/>
      <c r="L7" s="110" t="inlineStr">
        <is>
          <t xml:space="preserve"> Tech Develop &amp; OH</t>
        </is>
      </c>
      <c r="M7" s="111" t="n"/>
      <c r="N7" s="111" t="n"/>
      <c r="O7" s="112" t="n"/>
      <c r="P7" s="3" t="n">
        <v>300</v>
      </c>
      <c r="Q7" s="3" t="n"/>
      <c r="S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25/7[19998]; 262 h avl on 9/1[219000]</t>
        </is>
      </c>
    </row>
    <row r="8" ht="123" customHeight="1" s="125">
      <c r="A8" s="3" t="n">
        <v>8590</v>
      </c>
      <c r="B8" s="3" t="n"/>
      <c r="C8" s="3" t="n"/>
      <c r="D8" s="3" t="n"/>
      <c r="E8" s="3" t="n"/>
      <c r="F8" s="3" t="n">
        <v>0</v>
      </c>
      <c r="G8" s="9" t="n"/>
      <c r="H8" s="3">
        <f>SUM(E8:G8)</f>
        <v/>
      </c>
      <c r="I8" s="62" t="n"/>
      <c r="J8" s="63" t="n"/>
      <c r="K8" s="64" t="n"/>
      <c r="L8" s="110" t="n"/>
      <c r="M8" s="111" t="n"/>
      <c r="N8" s="111" t="n"/>
      <c r="O8" s="112" t="n"/>
      <c r="P8" s="3" t="n"/>
      <c r="Q8" s="3" t="n"/>
    </row>
    <row r="9" ht="41.25" customHeight="1" s="125">
      <c r="A9" s="3" t="inlineStr">
        <is>
          <t>B016</t>
        </is>
      </c>
      <c r="B9" s="3" t="n">
        <v>0</v>
      </c>
      <c r="C9" s="3" t="n"/>
      <c r="D9" s="3" t="n"/>
      <c r="E9" s="3" t="n">
        <v>0</v>
      </c>
      <c r="F9" s="3" t="n"/>
      <c r="G9" s="9" t="n">
        <v>0</v>
      </c>
      <c r="H9" s="3" t="n">
        <v>0</v>
      </c>
      <c r="I9" s="57" t="inlineStr">
        <is>
          <t xml:space="preserve"> </t>
        </is>
      </c>
      <c r="J9" s="58" t="inlineStr">
        <is>
          <t xml:space="preserve"> </t>
        </is>
      </c>
      <c r="K9" s="59" t="inlineStr">
        <is>
          <t xml:space="preserve"> </t>
        </is>
      </c>
      <c r="L9" s="110" t="inlineStr">
        <is>
          <t>Uday Pratap Singh/Pankaj Saxena/Alok Singh</t>
        </is>
      </c>
      <c r="M9" s="111" t="n"/>
      <c r="N9" s="111" t="n"/>
      <c r="O9" s="112" t="n"/>
      <c r="P9" s="2" t="n"/>
      <c r="Q9" s="5" t="n"/>
      <c r="S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0</v>
      </c>
      <c r="C10" s="3" t="n"/>
      <c r="D10" s="3" t="n"/>
      <c r="E10" s="3">
        <f>B10*8</f>
        <v/>
      </c>
      <c r="F10" s="3" t="n">
        <v>0</v>
      </c>
      <c r="G10" s="12" t="n">
        <v>0</v>
      </c>
      <c r="H10" s="3">
        <f>E10+F10+G10</f>
        <v/>
      </c>
      <c r="I10" s="126" t="inlineStr">
        <is>
          <t>Expediting - Greensol;</t>
        </is>
      </c>
      <c r="J10" s="111" t="n"/>
      <c r="K10" s="112" t="n"/>
      <c r="L10" s="110" t="inlineStr">
        <is>
          <t>Saeed Akhtar/ D Jana</t>
        </is>
      </c>
      <c r="M10" s="111" t="n"/>
      <c r="N10" s="111" t="n"/>
      <c r="O10" s="112" t="n"/>
      <c r="P10" s="3" t="n">
        <v>0</v>
      </c>
      <c r="Q10" s="3">
        <f>H10-P10</f>
        <v/>
      </c>
      <c r="R10" t="inlineStr">
        <is>
          <t xml:space="preserve"> </t>
        </is>
      </c>
      <c r="S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 t="n"/>
      <c r="D11" s="3" t="n"/>
      <c r="E11" s="3">
        <f>2*B11</f>
        <v/>
      </c>
      <c r="F11" s="3" t="n">
        <v>0</v>
      </c>
      <c r="G11" s="9" t="n">
        <v>0</v>
      </c>
      <c r="H11" s="3">
        <f>E11+F11+G11</f>
        <v/>
      </c>
      <c r="I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J11" s="111" t="n"/>
      <c r="K11" s="112" t="n"/>
      <c r="L11" s="110" t="inlineStr">
        <is>
          <t>Himanghsu Pal/Sanjeev Kumar/Aasheesh Handa</t>
        </is>
      </c>
      <c r="M11" s="111" t="n"/>
      <c r="N11" s="111" t="n"/>
      <c r="O11" s="112" t="n"/>
      <c r="P11" s="3" t="n">
        <v>0</v>
      </c>
      <c r="Q11" s="3">
        <f>H11-P11</f>
        <v/>
      </c>
      <c r="S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0</v>
      </c>
      <c r="C12" s="3" t="n"/>
      <c r="D12" s="3" t="n"/>
      <c r="E12" s="3" t="n">
        <v>0</v>
      </c>
      <c r="F12" s="3" t="n"/>
      <c r="G12" s="9" t="n"/>
      <c r="H12" s="3" t="n">
        <v>0</v>
      </c>
      <c r="I12" s="56" t="inlineStr">
        <is>
          <t xml:space="preserve"> </t>
        </is>
      </c>
      <c r="J12" s="60" t="n"/>
      <c r="K12" s="61" t="n"/>
      <c r="L12" s="110" t="inlineStr">
        <is>
          <t>Patra/Sanjay Dhuria</t>
        </is>
      </c>
      <c r="M12" s="111" t="n"/>
      <c r="N12" s="111" t="n"/>
      <c r="O12" s="112" t="n"/>
      <c r="P12" s="3" t="n"/>
      <c r="Q12" s="3" t="n"/>
      <c r="S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n"/>
      <c r="D13" s="3" t="n"/>
      <c r="E13" s="3" t="inlineStr">
        <is>
          <t xml:space="preserve"> </t>
        </is>
      </c>
      <c r="F13" s="3" t="inlineStr">
        <is>
          <t xml:space="preserve"> </t>
        </is>
      </c>
      <c r="G13" s="9" t="n"/>
      <c r="H13" s="3">
        <f>8*22</f>
        <v/>
      </c>
      <c r="I13" s="62" t="inlineStr">
        <is>
          <t>Insp: VTV/Swims -8,9/1(2d);VTV/Microfinish-14/1(1d);Megha/E&amp;H/FCRI-20,21/1(2d);Megha/Microsys-5/1(1d);Megha/TKIL/Emerson-20,21/1(2d); Megha/RSA Turbotech-12,13/1(2d);Megha/Southern Lub-19,20(2d);Megha/Shreem-19,20/1(2d);Others- (1d),SCADA Doc Rev/IRN eng.;QAPs:14 nos-(7d)Cables,Capacitors,VFD,Flowmeters,Transformer etc.</t>
        </is>
      </c>
      <c r="J13" s="63" t="n"/>
      <c r="K13" s="64" t="n"/>
      <c r="L13" s="110" t="inlineStr">
        <is>
          <t>G Suresh/Mr Dipak Panchal /Ms Gauri Sharma/ Mr Sunil Saurabh</t>
        </is>
      </c>
      <c r="M13" s="111" t="n"/>
      <c r="N13" s="111" t="n"/>
      <c r="O13" s="112" t="n"/>
      <c r="P13" s="3" t="n">
        <v>0</v>
      </c>
      <c r="Q13" s="3" t="n">
        <v>56</v>
      </c>
      <c r="S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 t="n"/>
      <c r="D14" s="3" t="n"/>
      <c r="E14" s="3">
        <f>2*B14</f>
        <v/>
      </c>
      <c r="F14" s="3" t="n"/>
      <c r="G14" s="9" t="n">
        <v>0</v>
      </c>
      <c r="H14" s="3">
        <f>SUM(E14:G14)</f>
        <v/>
      </c>
      <c r="I14" s="62" t="n"/>
      <c r="J14" s="63" t="n"/>
      <c r="K14" s="64" t="n"/>
      <c r="L14" s="110" t="inlineStr">
        <is>
          <t>Muthu/Patra/JPS Kalra/DK Kesri</t>
        </is>
      </c>
      <c r="M14" s="111" t="n"/>
      <c r="N14" s="111" t="n"/>
      <c r="O14" s="112" t="n"/>
      <c r="P14" s="3" t="n"/>
      <c r="Q14" s="3" t="n"/>
      <c r="S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6</v>
      </c>
      <c r="C15" s="3" t="n">
        <v>3</v>
      </c>
      <c r="D15" t="n">
        <v>2</v>
      </c>
      <c r="E15" s="3">
        <f>2*(B15+D15)</f>
        <v/>
      </c>
      <c r="F15" s="3">
        <f>8*0</f>
        <v/>
      </c>
      <c r="G15" s="9">
        <f>8*0</f>
        <v/>
      </c>
      <c r="H15" s="3">
        <f>SUM(E15:G15)</f>
        <v/>
      </c>
      <c r="I15" s="62" t="inlineStr">
        <is>
          <t xml:space="preserve">6running orders+ 2OCS+3Orders FD sub expediting; Critical Item Insp - </t>
        </is>
      </c>
      <c r="J15" s="63" t="n"/>
      <c r="K15" s="64" t="n"/>
      <c r="L15" s="110" t="inlineStr">
        <is>
          <t>Muthu/VA/Rajesh Bhatla/Arun Singh Arya/Sanjay Chaudhary</t>
        </is>
      </c>
      <c r="M15" s="111" t="n"/>
      <c r="N15" s="111" t="n"/>
      <c r="O15" s="112" t="n"/>
      <c r="P15" s="3" t="n">
        <v>0</v>
      </c>
      <c r="Q15" s="3" t="n"/>
      <c r="S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11/7[1656];24h rel on 19/1[1808];22h rel on 27/6[1830]</t>
        </is>
      </c>
    </row>
    <row r="16" ht="51.5" customHeight="1" s="125">
      <c r="A16" s="10" t="inlineStr">
        <is>
          <t>B285</t>
        </is>
      </c>
      <c r="B16" s="3" t="n"/>
      <c r="C16" s="3" t="n"/>
      <c r="E16" s="3" t="n"/>
      <c r="F16" s="3" t="n"/>
      <c r="G16" s="9" t="n"/>
      <c r="H16" s="3" t="n">
        <v>0</v>
      </c>
      <c r="I16" s="56" t="inlineStr">
        <is>
          <t xml:space="preserve"> </t>
        </is>
      </c>
      <c r="J16" s="60" t="n"/>
      <c r="K16" s="61" t="n"/>
      <c r="L16" s="110" t="inlineStr">
        <is>
          <t>Sanjeev Kumar/Vikalp Paliwal</t>
        </is>
      </c>
      <c r="M16" s="111" t="n"/>
      <c r="N16" s="111" t="n"/>
      <c r="O16" s="112" t="n"/>
      <c r="P16" s="3" t="n"/>
      <c r="Q16" s="3" t="n"/>
    </row>
    <row r="17" ht="112" customHeight="1" s="125">
      <c r="A17" s="10" t="inlineStr">
        <is>
          <t>B297</t>
        </is>
      </c>
      <c r="B17" s="3" t="n">
        <v>0</v>
      </c>
      <c r="C17" s="3" t="n">
        <v>1</v>
      </c>
      <c r="D17" s="95" t="n">
        <v>0</v>
      </c>
      <c r="E17" s="3">
        <f>2*D17</f>
        <v/>
      </c>
      <c r="F17" s="3">
        <f>8*0</f>
        <v/>
      </c>
      <c r="G17" s="9">
        <f>8*0</f>
        <v/>
      </c>
      <c r="H17" s="3">
        <f>SUM(E17:G17)</f>
        <v/>
      </c>
      <c r="I17" s="62" t="inlineStr">
        <is>
          <t xml:space="preserve">Exp-1-FD sub exp </t>
        </is>
      </c>
      <c r="J17" s="63" t="n"/>
      <c r="K17" s="64" t="n"/>
      <c r="L17" s="110" t="inlineStr">
        <is>
          <t>Muthu/NS Vasudev/Manish Tiwari - GAIL Pata</t>
        </is>
      </c>
      <c r="M17" s="111" t="n"/>
      <c r="N17" s="111" t="n"/>
      <c r="O17" s="112" t="n"/>
      <c r="P17" s="3" t="n">
        <v>10</v>
      </c>
      <c r="Q17" s="3" t="n"/>
      <c r="S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2</v>
      </c>
      <c r="C18" s="3" t="n">
        <v>0</v>
      </c>
      <c r="D18" t="n">
        <v>1</v>
      </c>
      <c r="E18" s="3">
        <f>2*(B18+D18)</f>
        <v/>
      </c>
      <c r="F18" s="3">
        <f>8*2</f>
        <v/>
      </c>
      <c r="G18" s="9">
        <f>8*0</f>
        <v/>
      </c>
      <c r="H18" s="3">
        <f>SUM(E18:G18)</f>
        <v/>
      </c>
      <c r="I18" s="62" t="inlineStr">
        <is>
          <t xml:space="preserve">2Running orders+1OCS ;Doc rev: YIL-103 - QAPs for Metering Skid,GDs,Rest. Orifice,Radar Level Txer etc. </t>
        </is>
      </c>
      <c r="J18" s="63" t="n"/>
      <c r="K18" s="64" t="n"/>
      <c r="L18" s="110" t="inlineStr">
        <is>
          <t>Muthu/Hemant Gadasia/D Jana(302-1)/Vinod Kumar/Abhishek Rai/Balbir Singh (01-P/L &amp; 02- COT) - pump order - 02; FOA also to incl. Unit no for correlation</t>
        </is>
      </c>
      <c r="M18" s="111" t="n"/>
      <c r="N18" s="111" t="n"/>
      <c r="O18" s="112" t="n"/>
      <c r="P18" s="3" t="n"/>
      <c r="Q18" s="3" t="n"/>
      <c r="S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3</v>
      </c>
      <c r="C19" s="3" t="n">
        <v>2</v>
      </c>
      <c r="D19" t="n">
        <v>1</v>
      </c>
      <c r="E19" s="3">
        <f>2*B19+2*D19</f>
        <v/>
      </c>
      <c r="F19" s="3" t="n">
        <v>0</v>
      </c>
      <c r="G19" s="9" t="n">
        <v>0</v>
      </c>
      <c r="H19" s="3">
        <f>SUM(E19:G19)</f>
        <v/>
      </c>
      <c r="I19" s="62" t="inlineStr">
        <is>
          <t>3R orders+2ord FD exp+1 OCS</t>
        </is>
      </c>
      <c r="J19" s="62" t="n"/>
      <c r="K19" s="62" t="n"/>
      <c r="L19" s="110" t="inlineStr">
        <is>
          <t>Sanjeev Kumar/Lavish/HarshVardhan</t>
        </is>
      </c>
      <c r="M19" s="111" t="n"/>
      <c r="N19" s="111" t="n"/>
      <c r="O19" s="112" t="n"/>
      <c r="P19" s="3" t="n">
        <v>1</v>
      </c>
      <c r="Q19" s="3" t="n"/>
      <c r="S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</t>
        </is>
      </c>
    </row>
    <row r="20" ht="83.5" customHeight="1" s="125">
      <c r="A20" s="3" t="inlineStr">
        <is>
          <t>B359</t>
        </is>
      </c>
      <c r="B20" s="3" t="n"/>
      <c r="C20" s="3" t="n"/>
      <c r="E20" s="3" t="n"/>
      <c r="F20" s="3" t="n">
        <v>0</v>
      </c>
      <c r="G20" s="9" t="n">
        <v>0</v>
      </c>
      <c r="H20" s="3">
        <f>SUM(E20:G20)</f>
        <v/>
      </c>
      <c r="I20" s="62" t="n"/>
      <c r="J20" s="62" t="n"/>
      <c r="K20" s="62" t="n"/>
      <c r="L20" s="110" t="inlineStr">
        <is>
          <t>G Suresh/Sumanta Mondal/Abhishek/Sarvesh Kumar</t>
        </is>
      </c>
      <c r="M20" s="111" t="n"/>
      <c r="N20" s="111" t="n"/>
      <c r="O20" s="112" t="n"/>
      <c r="P20" s="3" t="n"/>
      <c r="Q20" s="3" t="n"/>
      <c r="S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t="n">
        <v>9</v>
      </c>
      <c r="C21" t="n">
        <v>7</v>
      </c>
      <c r="D21" t="n">
        <v>4</v>
      </c>
      <c r="E21" s="3">
        <f>2*(B21+D21)</f>
        <v/>
      </c>
      <c r="F21" s="3">
        <f>8*4</f>
        <v/>
      </c>
      <c r="G21" s="9">
        <f>8*1</f>
        <v/>
      </c>
      <c r="H21" s="3">
        <f>SUM(E21:G21)</f>
        <v/>
      </c>
      <c r="I21" s="62" t="inlineStr">
        <is>
          <t>Expediting : 10R ord +11FDsub exp+2 OCS;Inspection: Microfinish &amp; Belgaum Aqua (Pos 990,1004) 8,22,23,29 (4d); Kequip- Lab Insts Tender - QAP Appls(1d);</t>
        </is>
      </c>
      <c r="J21" s="62" t="n"/>
      <c r="K21" s="62" t="n"/>
      <c r="L21" s="110" t="inlineStr">
        <is>
          <t>Muthu/CS Prasad/Ajay Gupta/Rajeev Kr Khandelwal/Prakash Jagarwal/Deepak Dinkar -GAIL Usar</t>
        </is>
      </c>
      <c r="M21" s="111" t="n"/>
      <c r="N21" s="111" t="n"/>
      <c r="O21" s="112" t="n"/>
      <c r="P21" s="3" t="n">
        <v>0</v>
      </c>
      <c r="Q21" s="3" t="n"/>
      <c r="S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16/6[4328];88h rel on 1/1/26[5194];66mh rel. on 18/2</t>
        </is>
      </c>
    </row>
    <row r="22" ht="118" customHeight="1" s="125">
      <c r="A22" s="10" t="inlineStr">
        <is>
          <t>B398</t>
        </is>
      </c>
      <c r="E22" s="3" t="n"/>
      <c r="F22" s="3" t="n"/>
      <c r="G22" s="9" t="n">
        <v>0</v>
      </c>
      <c r="H22" s="3">
        <f>SUM(E22:G22)</f>
        <v/>
      </c>
      <c r="I22" s="62" t="n"/>
      <c r="J22" s="62" t="n"/>
      <c r="K22" s="62" t="n"/>
      <c r="L22" s="110" t="n"/>
      <c r="M22" s="111" t="n"/>
      <c r="N22" s="111" t="n"/>
      <c r="O22" s="112" t="n"/>
      <c r="P22" s="3" t="n"/>
      <c r="Q22" s="3" t="n"/>
      <c r="S22" t="inlineStr">
        <is>
          <t>4h rel on 13/1[24]</t>
        </is>
      </c>
    </row>
    <row r="23" ht="118" customHeight="1" s="125">
      <c r="A23" s="10" t="inlineStr">
        <is>
          <t>B411</t>
        </is>
      </c>
      <c r="B23" s="96" t="n">
        <v>1</v>
      </c>
      <c r="E23" s="3">
        <f>2*B23</f>
        <v/>
      </c>
      <c r="F23" s="3">
        <f>8*0</f>
        <v/>
      </c>
      <c r="G23" s="9">
        <f>8*0</f>
        <v/>
      </c>
      <c r="H23" s="3">
        <f>SUM(E23:G23)</f>
        <v/>
      </c>
      <c r="I23" s="62" t="inlineStr">
        <is>
          <t>1 Ord on Belgaum Aqua</t>
        </is>
      </c>
      <c r="J23" s="62" t="n"/>
      <c r="K23" s="62" t="n"/>
      <c r="L23" s="110" t="n"/>
      <c r="M23" s="111" t="n"/>
      <c r="N23" s="111" t="n"/>
      <c r="O23" s="112" t="n"/>
      <c r="P23" s="3" t="n"/>
      <c r="Q23" s="3" t="n"/>
    </row>
    <row r="24" ht="83.5" customHeight="1" s="125">
      <c r="A24" s="10" t="inlineStr">
        <is>
          <t>B414</t>
        </is>
      </c>
      <c r="B24" t="n">
        <v>0</v>
      </c>
      <c r="C24" t="n">
        <v>3</v>
      </c>
      <c r="D24" t="n">
        <v>1</v>
      </c>
      <c r="E24" s="3">
        <f>2*(B24+D24)</f>
        <v/>
      </c>
      <c r="F24" s="3">
        <f>8*0</f>
        <v/>
      </c>
      <c r="G24" s="9">
        <f>8*0</f>
        <v/>
      </c>
      <c r="H24" s="3">
        <f>SUM(E24:G24)</f>
        <v/>
      </c>
      <c r="I24" s="62" t="inlineStr">
        <is>
          <t xml:space="preserve">1OCS+3 orders FD expediting </t>
        </is>
      </c>
      <c r="J24" s="62" t="n"/>
      <c r="K24" s="62" t="n"/>
      <c r="L24" s="110" t="inlineStr">
        <is>
          <t>Sanjeev/ Shnaoli Nath</t>
        </is>
      </c>
      <c r="M24" s="111" t="n"/>
      <c r="N24" s="111" t="n"/>
      <c r="O24" s="112" t="n"/>
      <c r="P24" s="3" t="n"/>
      <c r="Q24" s="3" t="n"/>
      <c r="S24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5" ht="83.5" customHeight="1" s="125">
      <c r="A25" s="10" t="inlineStr">
        <is>
          <t>B436</t>
        </is>
      </c>
      <c r="E25" s="3" t="n">
        <v>2</v>
      </c>
      <c r="F25" s="3" t="n">
        <v>0</v>
      </c>
      <c r="G25" s="9" t="n">
        <v>0</v>
      </c>
      <c r="H25" s="3" t="n">
        <v>0</v>
      </c>
      <c r="I25" s="62" t="inlineStr">
        <is>
          <t xml:space="preserve">SCADA order on ABB </t>
        </is>
      </c>
      <c r="J25" s="62" t="n"/>
      <c r="K25" s="62" t="n"/>
      <c r="L25" s="110" t="inlineStr">
        <is>
          <t>T Ravi/Sangram Mishra/NS Vasudev</t>
        </is>
      </c>
      <c r="M25" s="111" t="n"/>
      <c r="N25" s="111" t="n"/>
      <c r="O25" s="112" t="n"/>
      <c r="P25" s="3" t="n"/>
      <c r="Q25" s="3" t="n"/>
      <c r="R25" t="inlineStr">
        <is>
          <t>10h rel on 22/5;26h rel on 12/10[38]</t>
        </is>
      </c>
    </row>
    <row r="26" ht="121.5" customHeight="1" s="125">
      <c r="A26" s="10" t="inlineStr">
        <is>
          <t>B440</t>
        </is>
      </c>
      <c r="B26" t="n">
        <v>12</v>
      </c>
      <c r="C26" t="n">
        <v>1</v>
      </c>
      <c r="D26" t="n">
        <v>0</v>
      </c>
      <c r="E26" s="3">
        <f>2*(B26 +D26)</f>
        <v/>
      </c>
      <c r="F26" s="3">
        <f>8*0</f>
        <v/>
      </c>
      <c r="G26" s="9">
        <f>8*0</f>
        <v/>
      </c>
      <c r="H26" s="3">
        <f>SUM(E26:G26)</f>
        <v/>
      </c>
      <c r="I26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Clarifications-8/7(0.5d); Oct: 12 R ord+2OCS; Nov: 10R+2ord FD exp+excl. exp. visit to BDK +PO267-rev &amp; End. of TPI repts; Dec: 10 R ord+1OCS+PO61-TPI Doc rev/IRN endors; Jan:12 R ord + 1ord FD exp.</t>
        </is>
      </c>
      <c r="J26" s="62" t="n"/>
      <c r="K26" s="62" t="n"/>
      <c r="L26" s="110" t="inlineStr">
        <is>
          <t>Mittal/Ayush Mathur/Shivaji/VVR Murthy</t>
        </is>
      </c>
      <c r="M26" s="111" t="n"/>
      <c r="N26" s="111" t="n"/>
      <c r="O26" s="112" t="n"/>
      <c r="P26" s="3" t="n"/>
      <c r="Q26" s="3" t="n"/>
      <c r="R26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7" ht="83.5" customHeight="1" s="125">
      <c r="A27" s="10" t="inlineStr">
        <is>
          <t>B448</t>
        </is>
      </c>
      <c r="E27" s="3" t="n">
        <v>0</v>
      </c>
      <c r="F27" s="3">
        <f>8*1</f>
        <v/>
      </c>
      <c r="G27" s="9">
        <f>8*0</f>
        <v/>
      </c>
      <c r="H27" s="3">
        <f>SUM(E27:G27)</f>
        <v/>
      </c>
      <c r="I27" s="62" t="inlineStr">
        <is>
          <t xml:space="preserve">ABB - Plant Automation Pkg - Metering &amp; Blend Skid Insp -21/1 ; </t>
        </is>
      </c>
      <c r="J27" s="62" t="n"/>
      <c r="K27" s="62" t="n"/>
      <c r="L27" s="110" t="inlineStr">
        <is>
          <t>Sanjeev Kumar/UK Mishra/NS Vasudev</t>
        </is>
      </c>
      <c r="M27" s="111" t="n"/>
      <c r="N27" s="111" t="n"/>
      <c r="O27" s="112" t="n"/>
      <c r="P27" s="3" t="n"/>
      <c r="Q27" s="3" t="n"/>
      <c r="S27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8" ht="83.5" customHeight="1" s="125">
      <c r="A28" s="3" t="inlineStr">
        <is>
          <t>B519</t>
        </is>
      </c>
      <c r="B28" t="n">
        <v>1</v>
      </c>
      <c r="C28" t="n">
        <v>2</v>
      </c>
      <c r="D28" t="n">
        <v>0</v>
      </c>
      <c r="E28" s="3">
        <f>2*B28</f>
        <v/>
      </c>
      <c r="F28" s="3">
        <f>8*0</f>
        <v/>
      </c>
      <c r="G28" s="9">
        <f>8*0</f>
        <v/>
      </c>
      <c r="H28" s="3">
        <f>SUM(E28:G28)</f>
        <v/>
      </c>
      <c r="I28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insp-25/7(1d); Nov'25: 1 OCS + 2ord FD exp.; Dec'25-6827- YIL-shelters- Doc rev/IRN end.;Jan'26-1R ord + 1FD exp.</t>
        </is>
      </c>
      <c r="J28" s="62" t="n"/>
      <c r="K28" s="62" t="n"/>
      <c r="L28" s="110" t="inlineStr">
        <is>
          <t>G Suresh/HarshVardan/Prakash Jagarwal/DSNMurty</t>
        </is>
      </c>
      <c r="M28" s="111" t="n"/>
      <c r="N28" s="111" t="n"/>
      <c r="O28" s="112" t="n"/>
      <c r="P28" s="3" t="n"/>
      <c r="Q28" s="3" t="n"/>
    </row>
    <row r="29" ht="83.5" customHeight="1" s="125">
      <c r="A29" s="10" t="inlineStr">
        <is>
          <t>B548</t>
        </is>
      </c>
      <c r="E29" s="3" t="n">
        <v>0</v>
      </c>
      <c r="F29" s="3" t="n">
        <v>0</v>
      </c>
      <c r="G29" s="9" t="n">
        <v>0</v>
      </c>
      <c r="H29" s="3">
        <f>SUM(E29:G29)</f>
        <v/>
      </c>
      <c r="I29" s="62" t="n"/>
      <c r="J29" s="62" t="n"/>
      <c r="K29" s="62" t="n"/>
      <c r="L29" s="110" t="inlineStr">
        <is>
          <t>Sanjeev Kr/T Ravi/NS Vasudev/Sanjeev Kr Gupta</t>
        </is>
      </c>
      <c r="M29" s="111" t="n"/>
      <c r="N29" s="111" t="n"/>
      <c r="O29" s="112" t="n"/>
      <c r="P29" s="3" t="n"/>
      <c r="Q29" s="3" t="n"/>
      <c r="R29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30" ht="83.5" customHeight="1" s="125">
      <c r="A30" s="10" t="inlineStr">
        <is>
          <t>B559</t>
        </is>
      </c>
      <c r="B30" t="n">
        <v>3</v>
      </c>
      <c r="C30" t="n">
        <v>0</v>
      </c>
      <c r="D30" t="n">
        <v>0</v>
      </c>
      <c r="E30" s="3">
        <f>2*D30+2*D30</f>
        <v/>
      </c>
      <c r="F30" s="3" t="n">
        <v>0</v>
      </c>
      <c r="G30" s="9" t="n">
        <v>0</v>
      </c>
      <c r="H30" s="3">
        <f>SUM(E30:G30)</f>
        <v/>
      </c>
      <c r="I30" s="62" t="inlineStr">
        <is>
          <t xml:space="preserve">IOCL Biturox,Vad-Proj. Prof. uploaded on 20/3- Desk Expediting - NO OCS; 3 R orders expediting </t>
        </is>
      </c>
      <c r="J30" s="62" t="n"/>
      <c r="K30" s="62" t="n"/>
      <c r="L30" s="110" t="inlineStr">
        <is>
          <t xml:space="preserve">Muthu/Aravaazhi/SK Gayen/RK Gupta </t>
        </is>
      </c>
      <c r="M30" s="111" t="n"/>
      <c r="N30" s="111" t="n"/>
      <c r="O30" s="112" t="n"/>
      <c r="P30" s="3" t="n"/>
      <c r="Q30" s="3" t="n"/>
      <c r="R30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31" ht="83.5" customHeight="1" s="125">
      <c r="A31" s="3" t="inlineStr">
        <is>
          <t>B560</t>
        </is>
      </c>
      <c r="B31" t="n">
        <v>0</v>
      </c>
      <c r="C31" t="n">
        <v>4</v>
      </c>
      <c r="D31" t="n">
        <v>0</v>
      </c>
      <c r="E31" s="3">
        <f>2*(B31+D31)</f>
        <v/>
      </c>
      <c r="F31" s="3" t="n"/>
      <c r="G31" s="9" t="n">
        <v>0</v>
      </c>
      <c r="H31" s="3">
        <f>SUM(E31:G31)</f>
        <v/>
      </c>
      <c r="I31" s="62" t="inlineStr">
        <is>
          <t xml:space="preserve">Req.from ED(I) for expediting on 15/6/24 -4 FD exp &amp; OCS also to be made as per latest reqt.; </t>
        </is>
      </c>
      <c r="J31" s="62" t="n"/>
      <c r="K31" s="62" t="n"/>
      <c r="L31" s="110" t="inlineStr">
        <is>
          <t>G Suresh/Krishna Kumar/Vinod Kumar/RK Medhavi</t>
        </is>
      </c>
      <c r="M31" s="111" t="n"/>
      <c r="N31" s="111" t="n"/>
      <c r="O31" s="112" t="n"/>
      <c r="P31" s="3" t="n"/>
      <c r="Q31" s="3" t="n"/>
      <c r="R31" t="inlineStr">
        <is>
          <t>100h rel on 23/4</t>
        </is>
      </c>
    </row>
    <row r="32" ht="83.5" customHeight="1" s="125">
      <c r="A32" s="3" t="inlineStr">
        <is>
          <t>B571</t>
        </is>
      </c>
      <c r="E32" s="3">
        <f>8*0</f>
        <v/>
      </c>
      <c r="F32" s="3" t="n"/>
      <c r="G32" s="9" t="n"/>
      <c r="H32" s="3">
        <f>SUM(E32:G32)</f>
        <v/>
      </c>
      <c r="I32" s="62" t="n"/>
      <c r="J32" s="62" t="n"/>
      <c r="K32" s="62" t="n"/>
      <c r="L32" s="110" t="n"/>
      <c r="M32" s="111" t="n"/>
      <c r="N32" s="111" t="n"/>
      <c r="O32" s="112" t="n"/>
      <c r="P32" s="3" t="n"/>
      <c r="Q32" s="3" t="n"/>
    </row>
    <row r="33" ht="44" customHeight="1" s="125">
      <c r="A33" s="10" t="inlineStr">
        <is>
          <t>B589</t>
        </is>
      </c>
      <c r="E33" s="3" t="n">
        <v>0</v>
      </c>
      <c r="F33" s="3" t="n">
        <v>0</v>
      </c>
      <c r="G33" s="9" t="n">
        <v>0</v>
      </c>
      <c r="H33" s="3" t="n">
        <v>0</v>
      </c>
      <c r="I33" s="62" t="n"/>
      <c r="J33" s="62" t="n"/>
      <c r="K33" s="62" t="n"/>
      <c r="L33" s="110" t="inlineStr">
        <is>
          <t>Himangshu Pal/Sanjeev Kr/T Ravi/NS Vasudev/Sanjeev Kr Gupta</t>
        </is>
      </c>
      <c r="M33" s="111" t="n"/>
      <c r="N33" s="111" t="n"/>
      <c r="O33" s="112" t="n"/>
      <c r="P33" s="3" t="n"/>
      <c r="Q33" s="3" t="n"/>
      <c r="R33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4" ht="83.5" customHeight="1" s="125">
      <c r="A34" s="10" t="inlineStr">
        <is>
          <t>B650</t>
        </is>
      </c>
      <c r="B34" t="n">
        <v>0</v>
      </c>
      <c r="D34" t="n">
        <v>0</v>
      </c>
      <c r="E34" s="3">
        <f>B34*2+2*D34</f>
        <v/>
      </c>
      <c r="F34" s="3" t="n"/>
      <c r="G34" s="9" t="n"/>
      <c r="H34" s="3">
        <f>SUM(E34:G34)</f>
        <v/>
      </c>
      <c r="I34" s="62" t="inlineStr">
        <is>
          <t xml:space="preserve">1ord FD exp - No scope for RPO - however, OCS to be done </t>
        </is>
      </c>
      <c r="J34" s="62" t="n"/>
      <c r="K34" s="62" t="n"/>
      <c r="L34" s="110" t="inlineStr">
        <is>
          <t>G Suresh/Sanjay Choudhary/Siddant Kumar</t>
        </is>
      </c>
      <c r="M34" s="111" t="n"/>
      <c r="N34" s="111" t="n"/>
      <c r="O34" s="112" t="n"/>
      <c r="P34" s="3" t="n"/>
      <c r="Q34" s="3" t="n"/>
    </row>
    <row r="35" ht="83.5" customHeight="1" s="125">
      <c r="A35" s="10" t="inlineStr">
        <is>
          <t>B653</t>
        </is>
      </c>
      <c r="B35" t="n">
        <v>6</v>
      </c>
      <c r="C35" t="n">
        <v>2</v>
      </c>
      <c r="D35" t="n">
        <v>1</v>
      </c>
      <c r="E35" s="3">
        <f>2*(B35+D35)</f>
        <v/>
      </c>
      <c r="F35" s="3" t="n"/>
      <c r="G35" s="9">
        <f>8*0</f>
        <v/>
      </c>
      <c r="H35" s="3">
        <f>SUM(E35:G35)</f>
        <v/>
      </c>
      <c r="I35" s="62" t="inlineStr">
        <is>
          <t>Expediting by RPOs as per email dtd 22/10/24, OCS by RPO as per CS mail dt 17/1; (6 running incl 6FD exp+1 OCS);</t>
        </is>
      </c>
      <c r="J35" s="62" t="n"/>
      <c r="K35" s="62" t="n"/>
      <c r="L35" s="110" t="inlineStr">
        <is>
          <t>G Suresh/Sumanta Mondal/Aasheesh Handa/Amandeep Kaur</t>
        </is>
      </c>
      <c r="M35" s="111" t="n"/>
      <c r="N35" s="111" t="n"/>
      <c r="O35" s="112" t="n"/>
      <c r="P35" s="3" t="n"/>
      <c r="Q35" s="3" t="n"/>
      <c r="R35" t="inlineStr">
        <is>
          <t>40h rel on 9/4/24 [40]</t>
        </is>
      </c>
    </row>
    <row r="36" ht="83.5" customHeight="1" s="125">
      <c r="A36" s="3" t="inlineStr">
        <is>
          <t>B725</t>
        </is>
      </c>
      <c r="B36" s="3" t="n">
        <v>4</v>
      </c>
      <c r="C36" s="3" t="n"/>
      <c r="E36" s="3" t="n"/>
      <c r="F36" s="3" t="n">
        <v>0</v>
      </c>
      <c r="G36" s="9" t="n">
        <v>0</v>
      </c>
      <c r="H36" s="3">
        <f>SUM(E36:G36)</f>
        <v/>
      </c>
      <c r="I36" s="62" t="inlineStr">
        <is>
          <t xml:space="preserve">No expediting; </t>
        </is>
      </c>
      <c r="J36" s="62" t="n"/>
      <c r="K36" s="62" t="n"/>
      <c r="L36" s="110" t="inlineStr">
        <is>
          <t>Sanjeev Kumar- Scope: Rev. of ITP,Insp Docs &amp; FD</t>
        </is>
      </c>
      <c r="M36" s="111" t="n"/>
      <c r="N36" s="111" t="n"/>
      <c r="O36" s="112" t="n"/>
      <c r="P36" s="3" t="n"/>
      <c r="Q36" s="3" t="n"/>
      <c r="R36" t="inlineStr">
        <is>
          <t>4h sought by BT on 27/5 to Sanjeev Kr</t>
        </is>
      </c>
    </row>
    <row r="37" ht="83.5" customHeight="1" s="125">
      <c r="A37" s="3" t="inlineStr">
        <is>
          <t>B767</t>
        </is>
      </c>
      <c r="B37" s="3" t="n"/>
      <c r="C37" s="3" t="n"/>
      <c r="E37" s="3" t="n"/>
      <c r="F37" s="3">
        <f>8*0</f>
        <v/>
      </c>
      <c r="G37" s="9" t="n">
        <v>0</v>
      </c>
      <c r="H37" s="3">
        <f>SUM(E37:G37)</f>
        <v/>
      </c>
      <c r="I37" s="62" t="n"/>
      <c r="J37" s="62" t="n"/>
      <c r="K37" s="62" t="n"/>
      <c r="L37" s="110" t="inlineStr">
        <is>
          <t>Saeed Akhtar/Vikalp Paliwal/Balakumar</t>
        </is>
      </c>
      <c r="M37" s="111" t="n"/>
      <c r="N37" s="111" t="n"/>
      <c r="O37" s="112" t="n"/>
      <c r="P37" s="3" t="n"/>
      <c r="Q37" s="3" t="n"/>
      <c r="R37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8" ht="83.5" customHeight="1" s="125">
      <c r="A38" s="3" t="inlineStr">
        <is>
          <t>B795</t>
        </is>
      </c>
      <c r="B38" s="3" t="n">
        <v>5</v>
      </c>
      <c r="C38" s="3" t="n"/>
      <c r="E38" s="3">
        <f>5*2</f>
        <v/>
      </c>
      <c r="F38" s="3">
        <f>8*4</f>
        <v/>
      </c>
      <c r="G38" s="9" t="n"/>
      <c r="H38" s="3">
        <f>SUM(E38:G38)</f>
        <v/>
      </c>
      <c r="I38" s="62" t="inlineStr">
        <is>
          <t>Insp:  -QAP appl. &amp; Insp. in EIL scope(desk exp.by Monitor) ;Telecom System-ABB-Exp. By RPO as per Pjt. Profile loaded in Nov'25 - From15/11/25, expediting by RPOs; Insp: ECIL SCADA -6/1; Essenar T/f-Mtg.for testing methodology + insp on 29,30</t>
        </is>
      </c>
      <c r="J38" s="62" t="n"/>
      <c r="K38" s="62" t="n"/>
      <c r="L38" s="110" t="inlineStr">
        <is>
          <t>Muthu/Hemant Gadasia/Tarun Bansal/Dipak Panchal</t>
        </is>
      </c>
      <c r="M38" s="111" t="n"/>
      <c r="N38" s="111" t="n"/>
      <c r="O38" s="112" t="n"/>
      <c r="P38" s="3" t="n"/>
      <c r="Q38" s="3" t="n"/>
      <c r="R38" t="inlineStr">
        <is>
          <t>32h rels. On 12/9;64h on 16/1; addl 100h rel on 20/1 [276];42h rel on 20/2[410]</t>
        </is>
      </c>
    </row>
    <row r="39" ht="83.5" customHeight="1" s="125">
      <c r="A39" s="3" t="inlineStr">
        <is>
          <t>B813</t>
        </is>
      </c>
      <c r="B39" t="n">
        <v>1</v>
      </c>
      <c r="C39" s="3" t="n"/>
      <c r="E39" s="3">
        <f>2*B39</f>
        <v/>
      </c>
      <c r="F39" s="3" t="n"/>
      <c r="G39" s="9" t="n"/>
      <c r="H39" s="3">
        <f>SUM(E39:G39)</f>
        <v/>
      </c>
      <c r="I39" s="62" t="inlineStr">
        <is>
          <t>Expedite &amp; Inspect critical items (list provided in mail dt.29/5/25) EIL on man-day reimbursable basis - 1 order on KSBMIL</t>
        </is>
      </c>
      <c r="J39" s="62" t="n"/>
      <c r="K39" s="62" t="n"/>
      <c r="L39" s="110" t="inlineStr">
        <is>
          <t>Sanjeev Kumar/Raviraj/Shivaji</t>
        </is>
      </c>
      <c r="M39" s="111" t="n"/>
      <c r="N39" s="111" t="n"/>
      <c r="O39" s="112" t="inlineStr">
        <is>
          <t>NRL-Aqueous Ammonia Unit</t>
        </is>
      </c>
      <c r="P39" s="3" t="n"/>
      <c r="Q39" s="3" t="n"/>
    </row>
    <row r="40" ht="83.5" customHeight="1" s="125">
      <c r="A40" s="3" t="inlineStr">
        <is>
          <t>B860</t>
        </is>
      </c>
      <c r="B40" s="96" t="n">
        <v>1</v>
      </c>
      <c r="C40" s="3" t="n"/>
      <c r="E40" s="3">
        <f>2*B40</f>
        <v/>
      </c>
      <c r="F40" s="3" t="n"/>
      <c r="G40" s="9">
        <f>8*0.5</f>
        <v/>
      </c>
      <c r="H40" s="3">
        <f>SUM(E40:G40)</f>
        <v/>
      </c>
      <c r="I40" s="62" t="inlineStr">
        <is>
          <t>YIL-Terminal Automation System - Expediting &amp; Insp. - expediting &amp;online mtg. with all stake holders mtgs.(15,19)</t>
        </is>
      </c>
      <c r="J40" s="62" t="n"/>
      <c r="K40" s="62" t="n"/>
      <c r="L40" s="110" t="inlineStr">
        <is>
          <t>Muthu/Hemant Gadasia/Giridhar Nanduri/Sanjeev Gupta/RK Medhavi</t>
        </is>
      </c>
      <c r="M40" s="111" t="n"/>
      <c r="N40" s="111" t="n"/>
      <c r="O40" s="112" t="n"/>
      <c r="P40" s="3" t="inlineStr">
        <is>
          <t>KLL-Addl Terminals</t>
        </is>
      </c>
      <c r="Q40" s="3" t="n"/>
    </row>
    <row r="41" ht="83.5" customHeight="1" s="125">
      <c r="A41" s="3" t="inlineStr">
        <is>
          <t>B861</t>
        </is>
      </c>
      <c r="B41" t="n">
        <v>1</v>
      </c>
      <c r="C41" s="3" t="n"/>
      <c r="E41" s="3">
        <f>8*2</f>
        <v/>
      </c>
      <c r="F41" s="3">
        <f>8*2</f>
        <v/>
      </c>
      <c r="G41" s="9" t="n"/>
      <c r="H41" s="3">
        <f>SUM(E41:G41)</f>
        <v/>
      </c>
      <c r="I41" s="62" t="inlineStr">
        <is>
          <t>Enginemates order - Expediting, Rev. Mtg.,PAUT proc. Appl,Rev. of MTCs; Insp visit 8,9/1</t>
        </is>
      </c>
      <c r="J41" s="62" t="n"/>
      <c r="K41" s="62" t="n"/>
      <c r="L41" s="110" t="inlineStr">
        <is>
          <t>Muthu/Hemant Gadasia/Shashank Nayyar/D Jana</t>
        </is>
      </c>
      <c r="M41" s="111" t="n"/>
      <c r="N41" s="111" t="n"/>
      <c r="O41" s="112" t="n"/>
      <c r="P41" s="3" t="n"/>
      <c r="Q41" s="3" t="n"/>
    </row>
    <row r="42" ht="83.5" customHeight="1" s="125">
      <c r="A42" s="3" t="inlineStr">
        <is>
          <t>B862</t>
        </is>
      </c>
      <c r="B42" t="n">
        <v>7</v>
      </c>
      <c r="C42" s="3" t="n">
        <v>1</v>
      </c>
      <c r="E42" s="3">
        <f>B42*2</f>
        <v/>
      </c>
      <c r="F42" s="3" t="n"/>
      <c r="G42" s="9" t="n">
        <v>8</v>
      </c>
      <c r="H42" s="3">
        <f>SUM(E42:G42)</f>
        <v/>
      </c>
      <c r="I42" s="62" t="inlineStr">
        <is>
          <t>manhour for Level- 13 (Group-2), Level -15 &amp; 16 (Group-4) and Level-18 (Group-5) have far exceeded ceiling prescribed in the contract - &gt;Lvl 17-mh limited to 16%; 7 Running orders, Mtgs with FS,YIL &amp; QLAR pkgs for review of QA &amp; other reqts</t>
        </is>
      </c>
      <c r="J42" s="62" t="n"/>
      <c r="K42" s="62" t="n"/>
      <c r="L42" s="110" t="inlineStr">
        <is>
          <t>Sanjeev Kumar/Rajeev Khandelwal IOM 10/7/24 from Mr Rajeev Khandelwal on level wise breakup of MH to be booked - to be followed while seeking MH.</t>
        </is>
      </c>
      <c r="M42" s="111" t="n"/>
      <c r="N42" s="111" t="n"/>
      <c r="O42" s="112" t="inlineStr">
        <is>
          <t>PLL</t>
        </is>
      </c>
      <c r="P42" s="3" t="n"/>
      <c r="Q42" s="3" t="n"/>
      <c r="R42" t="inlineStr">
        <is>
          <t>200h rel in May'25</t>
        </is>
      </c>
    </row>
    <row r="43" ht="83.5" customHeight="1" s="125">
      <c r="A43" s="3" t="inlineStr">
        <is>
          <t>B865</t>
        </is>
      </c>
      <c r="C43" s="3" t="n"/>
      <c r="E43" s="3" t="n"/>
      <c r="F43" s="3" t="n"/>
      <c r="G43" s="9" t="n"/>
      <c r="H43" s="3" t="n"/>
      <c r="I43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J43" s="62" t="n"/>
      <c r="K43" s="62" t="n"/>
      <c r="L43" s="110" t="inlineStr">
        <is>
          <t>Muthu/CS Prasad/</t>
        </is>
      </c>
      <c r="M43" s="111" t="n"/>
      <c r="N43" s="111" t="n"/>
      <c r="O43" s="112" t="inlineStr">
        <is>
          <t>HPCL Petchem Mktg Terminal</t>
        </is>
      </c>
      <c r="P43" s="3" t="n"/>
      <c r="Q43" s="3" t="n"/>
    </row>
    <row r="44" ht="83.5" customHeight="1" s="125">
      <c r="A44" s="3" t="inlineStr">
        <is>
          <t>B889</t>
        </is>
      </c>
      <c r="B44" t="n">
        <v>2</v>
      </c>
      <c r="C44" s="3" t="n"/>
      <c r="E44" s="3">
        <f>2*B44</f>
        <v/>
      </c>
      <c r="F44" s="3" t="n"/>
      <c r="G44" s="9" t="n"/>
      <c r="H44" s="3">
        <f>SUM(E44:G44)</f>
        <v/>
      </c>
      <c r="I44" s="62" t="inlineStr">
        <is>
          <t>Expediting+OCS</t>
        </is>
      </c>
      <c r="J44" s="62" t="n"/>
      <c r="K44" s="62" t="n"/>
      <c r="L44" s="110" t="inlineStr">
        <is>
          <t>Vasu/</t>
        </is>
      </c>
      <c r="M44" s="111" t="n"/>
      <c r="N44" s="111" t="n"/>
      <c r="O44" s="112" t="inlineStr">
        <is>
          <t>MIL-Khadki</t>
        </is>
      </c>
      <c r="P44" s="3" t="n"/>
      <c r="Q44" s="3" t="n"/>
    </row>
    <row r="45" ht="83.5" customHeight="1" s="125">
      <c r="A45" s="3" t="inlineStr">
        <is>
          <t>B895</t>
        </is>
      </c>
      <c r="B45" t="n">
        <v>3</v>
      </c>
      <c r="C45" s="3" t="n"/>
      <c r="E45" s="3">
        <f>2*B45</f>
        <v/>
      </c>
      <c r="F45" s="3" t="n"/>
      <c r="G45" s="9" t="n">
        <v>4</v>
      </c>
      <c r="H45" s="3">
        <f>SUM(E45:G45)</f>
        <v/>
      </c>
      <c r="I45" s="62" t="inlineStr">
        <is>
          <t>1order oneach on Flowserve/Belgaum Aqua; FS Pumps QAP appl.</t>
        </is>
      </c>
      <c r="J45" s="62" t="n"/>
      <c r="K45" s="62" t="n"/>
      <c r="L45" s="110" t="inlineStr">
        <is>
          <t>Muthu/CS Prasad/Sujit Saha Roy/Shashank/Rajesh Bhatla</t>
        </is>
      </c>
      <c r="M45" s="111" t="n"/>
      <c r="N45" s="111" t="n"/>
      <c r="O45" s="112" t="n"/>
      <c r="P45" s="3" t="inlineStr">
        <is>
          <t>BPCL Kochi - Exp+Insp</t>
        </is>
      </c>
      <c r="Q45" s="3" t="n"/>
      <c r="R45" t="inlineStr">
        <is>
          <t>6h rel on 1/1[8]</t>
        </is>
      </c>
    </row>
    <row r="46" ht="83.5" customHeight="1" s="125">
      <c r="A46" s="3" t="inlineStr">
        <is>
          <t>B903</t>
        </is>
      </c>
      <c r="B46" t="n">
        <v>1</v>
      </c>
      <c r="C46" s="3" t="n">
        <v>0</v>
      </c>
      <c r="D46" t="n">
        <v>1</v>
      </c>
      <c r="E46" s="3">
        <f>2*(B46+D46)</f>
        <v/>
      </c>
      <c r="F46" s="3" t="n">
        <v>0</v>
      </c>
      <c r="G46" s="9" t="n"/>
      <c r="H46" s="3">
        <f>SUM(E46:G46)</f>
        <v/>
      </c>
      <c r="I46" s="62" t="inlineStr">
        <is>
          <t>1 ord exp</t>
        </is>
      </c>
      <c r="J46" s="62" t="n"/>
      <c r="K46" s="62" t="n"/>
      <c r="L46" s="110" t="inlineStr">
        <is>
          <t>Sanjeev Kumar/Shnaoli</t>
        </is>
      </c>
      <c r="M46" s="111" t="n"/>
      <c r="N46" s="111" t="n"/>
      <c r="O46" s="112" t="n"/>
      <c r="P46" s="3" t="n"/>
      <c r="Q46" s="3" t="n"/>
    </row>
    <row r="47" ht="83.5" customHeight="1" s="125">
      <c r="A47" s="3" t="inlineStr">
        <is>
          <t>B904</t>
        </is>
      </c>
      <c r="B47" t="n">
        <v>0</v>
      </c>
      <c r="C47" s="3" t="n"/>
      <c r="D47" t="n">
        <v>0</v>
      </c>
      <c r="E47" s="3">
        <f>2*B47</f>
        <v/>
      </c>
      <c r="F47" s="3" t="n"/>
      <c r="G47" s="9" t="n"/>
      <c r="H47" s="3">
        <f>SUM(E47:G47)</f>
        <v/>
      </c>
      <c r="I47" s="62" t="n"/>
      <c r="J47" s="62" t="n"/>
      <c r="K47" s="62" t="n"/>
      <c r="L47" s="110" t="inlineStr">
        <is>
          <t>Sanjeev Kumar/Shnaoli</t>
        </is>
      </c>
      <c r="M47" s="111" t="n"/>
      <c r="N47" s="111" t="n"/>
      <c r="O47" s="112" t="n"/>
      <c r="P47" s="3" t="n"/>
      <c r="Q47" s="3" t="n"/>
    </row>
    <row r="48" ht="83.5" customFormat="1" customHeight="1" s="4">
      <c r="A48" s="3" t="inlineStr">
        <is>
          <t>B933</t>
        </is>
      </c>
      <c r="B48" s="4" t="n">
        <v>5</v>
      </c>
      <c r="C48" s="3" t="n"/>
      <c r="E48" s="3">
        <f>2*B48</f>
        <v/>
      </c>
      <c r="F48" s="3">
        <f>8*0</f>
        <v/>
      </c>
      <c r="G48" s="9" t="n">
        <v>8</v>
      </c>
      <c r="H48" s="3">
        <f>SUM(E48:G48)</f>
        <v/>
      </c>
      <c r="I48" s="62" t="inlineStr">
        <is>
          <t>5 Orders exp.; Mtgs. For review of pkgs on FS &amp;Triveni (HPRT),Phils Engg.&amp; YIL for QA &amp; other requirements.</t>
        </is>
      </c>
      <c r="J48" s="62" t="n"/>
      <c r="K48" s="62" t="n"/>
      <c r="L48" s="6" t="inlineStr">
        <is>
          <t>G Suresh/Binoy Debnath</t>
        </is>
      </c>
      <c r="M48" s="7" t="n"/>
      <c r="N48" s="7" t="n"/>
      <c r="O48" s="8" t="n"/>
      <c r="P48" s="3" t="inlineStr">
        <is>
          <t>BPCL Bina ref.</t>
        </is>
      </c>
      <c r="Q48" s="3" t="n"/>
    </row>
    <row r="49" ht="83.5" customHeight="1" s="125">
      <c r="A49" s="3" t="inlineStr">
        <is>
          <t>B943</t>
        </is>
      </c>
      <c r="B49" t="n">
        <v>3</v>
      </c>
      <c r="C49" s="3" t="n"/>
      <c r="E49" s="3">
        <f>2*B49</f>
        <v/>
      </c>
      <c r="F49" s="3" t="n"/>
      <c r="G49" s="9" t="n"/>
      <c r="H49" s="3">
        <f>SUM(E49:G49)</f>
        <v/>
      </c>
      <c r="I49" s="62" t="inlineStr">
        <is>
          <t>3 orders exp.</t>
        </is>
      </c>
      <c r="J49" s="62" t="n"/>
      <c r="K49" s="62" t="n"/>
      <c r="L49" s="110" t="inlineStr">
        <is>
          <t>Sanjeev Kumar</t>
        </is>
      </c>
      <c r="M49" s="111" t="n"/>
      <c r="N49" s="111" t="n"/>
      <c r="O49" s="112" t="inlineStr">
        <is>
          <t>MRPL</t>
        </is>
      </c>
      <c r="P49" s="3" t="n"/>
      <c r="Q49" s="3" t="n"/>
    </row>
    <row r="50" ht="83.5" customHeight="1" s="125">
      <c r="A50" s="3" t="inlineStr">
        <is>
          <t>B957</t>
        </is>
      </c>
      <c r="B50" s="3" t="n">
        <v>2</v>
      </c>
      <c r="C50" s="3" t="n"/>
      <c r="E50" s="3">
        <f>B50*1</f>
        <v/>
      </c>
      <c r="F50" s="3" t="n"/>
      <c r="G50" s="9" t="n">
        <v>32</v>
      </c>
      <c r="H50" s="3">
        <f>SUM(E50:G50)</f>
        <v/>
      </c>
      <c r="I50" s="62" t="inlineStr">
        <is>
          <t xml:space="preserve">Vihawk - Mtgs. With all stake holders on 5,9,12,21,27,28/1, QAP appls.(LVS,Flood lights,JBs),Rev.IRN end.-Cable trays </t>
        </is>
      </c>
      <c r="J50" s="62" t="n"/>
      <c r="K50" s="62" t="n"/>
      <c r="L50" s="110" t="n"/>
      <c r="M50" s="111" t="n"/>
      <c r="N50" s="111" t="n"/>
      <c r="O50" s="112" t="n"/>
      <c r="P50" s="3" t="n"/>
      <c r="Q50" s="3" t="n"/>
    </row>
    <row r="51" ht="83.5" customHeight="1" s="125">
      <c r="A51" s="3" t="inlineStr">
        <is>
          <t>B964</t>
        </is>
      </c>
      <c r="B51" s="3" t="n"/>
      <c r="C51" s="3" t="n"/>
      <c r="E51" s="3" t="n"/>
      <c r="F51" s="3" t="n"/>
      <c r="G51" s="9">
        <f>8*13</f>
        <v/>
      </c>
      <c r="H51" s="3">
        <f>SUM(E51:G51)</f>
        <v/>
      </c>
      <c r="I51" s="62" t="inlineStr">
        <is>
          <t>Pipemill Coating -BT-10-25/1 -88h rel on 20/2</t>
        </is>
      </c>
      <c r="J51" s="62" t="n"/>
      <c r="K51" s="62" t="n"/>
      <c r="L51" s="110" t="inlineStr">
        <is>
          <t>Muthu/Hemant Gadasia/Sarvesh Kumar</t>
        </is>
      </c>
      <c r="M51" s="111" t="n"/>
      <c r="N51" s="111" t="n"/>
      <c r="O51" s="112" t="n"/>
      <c r="P51" s="3" t="n"/>
      <c r="Q51" s="3" t="n"/>
    </row>
    <row r="52" ht="83.5" customHeight="1" s="125">
      <c r="A52" s="3" t="inlineStr">
        <is>
          <t>C007</t>
        </is>
      </c>
      <c r="B52" s="3" t="n">
        <v>0</v>
      </c>
      <c r="C52" s="3" t="n"/>
      <c r="E52" s="3" t="n"/>
      <c r="F52" s="3">
        <f>8*B52</f>
        <v/>
      </c>
      <c r="G52" s="9" t="n"/>
      <c r="H52" s="3">
        <f>SUM(E52:G52)</f>
        <v/>
      </c>
      <c r="I52" s="62" t="inlineStr">
        <is>
          <t xml:space="preserve">Scope: Insp/Exp. of GAIL dir. Orders - </t>
        </is>
      </c>
      <c r="J52" s="62" t="n"/>
      <c r="K52" s="62" t="n"/>
      <c r="L52" s="110" t="inlineStr">
        <is>
          <t>Muthu/Hemant Gadasia/Rajeev Chak/RSKanna</t>
        </is>
      </c>
      <c r="M52" s="111" t="n"/>
      <c r="N52" s="111" t="n"/>
      <c r="O52" s="112" t="n"/>
      <c r="P52" s="3" t="inlineStr">
        <is>
          <t>Vijaypur/Pata P/L</t>
        </is>
      </c>
      <c r="Q52" s="3" t="n"/>
    </row>
    <row r="53" ht="83.5" customHeight="1" s="125">
      <c r="A53" s="3" t="inlineStr">
        <is>
          <t>C028</t>
        </is>
      </c>
      <c r="B53" s="3" t="n">
        <v>1</v>
      </c>
      <c r="C53" s="3" t="n"/>
      <c r="E53" s="3">
        <f>2*B53</f>
        <v/>
      </c>
      <c r="F53" s="3" t="n"/>
      <c r="G53" s="9" t="n">
        <v>2</v>
      </c>
      <c r="H53" s="3">
        <f>SUM(E53:G53)</f>
        <v/>
      </c>
      <c r="I53" s="62" t="inlineStr">
        <is>
          <t>1 Ord. exp - Elite Engg. - KOM</t>
        </is>
      </c>
      <c r="J53" s="62" t="n"/>
      <c r="K53" s="62" t="n"/>
      <c r="L53" s="110" t="n"/>
      <c r="M53" s="111" t="n"/>
      <c r="N53" s="111" t="n"/>
      <c r="O53" s="112" t="n"/>
      <c r="P53" s="3" t="n"/>
      <c r="Q53" s="3" t="n"/>
      <c r="R53" t="inlineStr">
        <is>
          <t>4h rel on 20/2[100]</t>
        </is>
      </c>
    </row>
    <row r="54" ht="83.5" customHeight="1" s="125">
      <c r="A54" s="3" t="inlineStr">
        <is>
          <t>C068</t>
        </is>
      </c>
      <c r="B54" s="3" t="n">
        <v>1</v>
      </c>
      <c r="C54" s="3" t="n"/>
      <c r="E54" s="3">
        <f>2*B54</f>
        <v/>
      </c>
      <c r="F54" s="3" t="n"/>
      <c r="G54" s="9" t="n">
        <v>2</v>
      </c>
      <c r="H54" s="3">
        <f>SUM(E54:G54)</f>
        <v/>
      </c>
      <c r="I54" s="62" t="inlineStr">
        <is>
          <t>1 Ord. exp - Flowserve. - KOM</t>
        </is>
      </c>
      <c r="J54" s="62" t="n"/>
      <c r="K54" s="62" t="n"/>
      <c r="L54" s="110" t="n"/>
      <c r="M54" s="111" t="n"/>
      <c r="N54" s="111" t="n"/>
      <c r="O54" s="112" t="n"/>
      <c r="P54" s="3" t="n"/>
      <c r="Q54" s="3" t="n"/>
    </row>
    <row r="55" ht="46" customHeight="1" s="125">
      <c r="A55" s="3" t="inlineStr">
        <is>
          <t>Leave</t>
        </is>
      </c>
      <c r="B55" s="3" t="n">
        <v>4</v>
      </c>
      <c r="C55" s="3" t="n"/>
      <c r="D55" s="3" t="n"/>
      <c r="E55" s="3" t="n"/>
      <c r="F55" s="3" t="n"/>
      <c r="G55" s="9" t="inlineStr">
        <is>
          <t xml:space="preserve"> </t>
        </is>
      </c>
      <c r="H55" s="3">
        <f>8*B55</f>
        <v/>
      </c>
      <c r="I55" s="62" t="inlineStr">
        <is>
          <t>VR: 30;AG:14(0.5);SV-16;BT-28(0.5);NV-2; Viji -5,16,30</t>
        </is>
      </c>
      <c r="J55" s="62" t="n"/>
      <c r="K55" s="62" t="n"/>
      <c r="L55" s="110" t="inlineStr">
        <is>
          <t xml:space="preserve"> </t>
        </is>
      </c>
      <c r="M55" s="111" t="n"/>
      <c r="N55" s="111" t="n"/>
      <c r="O55" s="112" t="n"/>
      <c r="P55" s="3" t="n"/>
      <c r="Q55" s="3">
        <f>H55-P55</f>
        <v/>
      </c>
      <c r="R55" t="n">
        <v>68</v>
      </c>
    </row>
    <row r="56" ht="45.5" customHeight="1" s="125">
      <c r="A56" s="3" t="inlineStr">
        <is>
          <t>Total</t>
        </is>
      </c>
      <c r="B56" s="3">
        <f>SUM(B10:B55)</f>
        <v/>
      </c>
      <c r="C56" s="3" t="n"/>
      <c r="D56" s="3" t="n"/>
      <c r="E56" s="3" t="n"/>
      <c r="F56" s="3" t="n"/>
      <c r="G56" s="9" t="n"/>
      <c r="H56" s="3">
        <f>SUM(H4:H55)</f>
        <v/>
      </c>
      <c r="I56" s="56" t="n"/>
      <c r="J56" s="56" t="n"/>
      <c r="K56" s="56" t="n"/>
      <c r="L56" s="110" t="n"/>
      <c r="M56" s="111" t="n"/>
      <c r="N56" s="111" t="n"/>
      <c r="O56" s="112" t="n"/>
      <c r="P56" s="3" t="n"/>
      <c r="Q56" s="3">
        <f>H56-P56</f>
        <v/>
      </c>
      <c r="R56">
        <f>SUM(R10:R55)</f>
        <v/>
      </c>
      <c r="S56">
        <f>672-R56</f>
        <v/>
      </c>
    </row>
    <row r="57" ht="83.5" customHeight="1" s="125">
      <c r="A57" s="3" t="n"/>
      <c r="B57" s="3" t="n"/>
      <c r="C57" s="3" t="n"/>
      <c r="D57" s="3" t="n"/>
      <c r="E57" s="3" t="n"/>
      <c r="F57" s="3" t="n"/>
      <c r="G57" s="9" t="n"/>
      <c r="H57" s="3" t="inlineStr">
        <is>
          <t xml:space="preserve"> </t>
        </is>
      </c>
      <c r="I57" s="56" t="n"/>
      <c r="J57" s="56" t="n"/>
      <c r="K57" s="56">
        <f>52*5*3- 36</f>
        <v/>
      </c>
      <c r="L57" s="110" t="n"/>
      <c r="M57" s="111" t="n"/>
      <c r="N57" s="111" t="n"/>
      <c r="O57" s="112" t="n"/>
      <c r="P57" s="3" t="n"/>
      <c r="Q57" s="3" t="n"/>
    </row>
    <row r="58" ht="83.5" customHeight="1" s="125">
      <c r="A58" s="3" t="inlineStr">
        <is>
          <t>Notes:</t>
        </is>
      </c>
      <c r="B58" s="3" t="n"/>
      <c r="C58" s="3" t="n"/>
      <c r="D58" s="3" t="n"/>
      <c r="E58" s="3" t="n"/>
      <c r="F58" s="3" t="n"/>
      <c r="G58" s="9" t="n"/>
      <c r="H58" s="3" t="n"/>
      <c r="I58" s="56" t="n"/>
      <c r="J58" s="56" t="n"/>
      <c r="K58" s="56" t="n"/>
      <c r="L58" s="110" t="n"/>
      <c r="M58" s="111" t="inlineStr">
        <is>
          <t xml:space="preserve"> </t>
        </is>
      </c>
      <c r="N58" s="111" t="n"/>
      <c r="O58" s="112" t="n"/>
      <c r="P58" s="3" t="n"/>
      <c r="Q58" s="3" t="n"/>
    </row>
    <row r="59" ht="83.5" customHeight="1" s="125">
      <c r="A59" s="3" t="inlineStr">
        <is>
          <t>1. If there are any other job nos., pl. include the same.</t>
        </is>
      </c>
      <c r="B59" s="3" t="n"/>
      <c r="C59" s="3" t="n"/>
      <c r="D59" s="3" t="n"/>
      <c r="E59" s="3" t="n"/>
      <c r="F59" s="3" t="n"/>
      <c r="G59" s="9" t="n"/>
      <c r="H59" s="3" t="n"/>
      <c r="I59" s="9" t="inlineStr">
        <is>
          <t xml:space="preserve"> </t>
        </is>
      </c>
      <c r="J59" s="111" t="n"/>
      <c r="K59" s="112" t="n"/>
      <c r="L59" s="6" t="inlineStr">
        <is>
          <t xml:space="preserve"> </t>
        </is>
      </c>
      <c r="M59" s="7" t="inlineStr">
        <is>
          <t xml:space="preserve"> </t>
        </is>
      </c>
      <c r="N59" s="7" t="n"/>
      <c r="O59" s="8" t="n"/>
      <c r="P59" s="3" t="n"/>
      <c r="Q59" s="3" t="n"/>
    </row>
    <row r="60">
      <c r="A60" s="24" t="inlineStr">
        <is>
          <t xml:space="preserve">Guidelines : </t>
        </is>
      </c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</row>
    <row r="61">
      <c r="A61" s="26" t="inlineStr">
        <is>
          <t>1. Inspection Visit including review and endorsement of final documents: At  actual</t>
        </is>
      </c>
      <c r="B61" s="26" t="n"/>
      <c r="C61" s="26" t="n"/>
      <c r="D61" s="26" t="n"/>
    </row>
    <row r="62">
      <c r="A62" s="26" t="inlineStr">
        <is>
          <t xml:space="preserve">2. Expediting and preparation of expediting report: Average 2 hours /month /order ( No separate man hours for coordination ) </t>
        </is>
      </c>
      <c r="S62" t="inlineStr">
        <is>
          <t xml:space="preserve"> </t>
        </is>
      </c>
    </row>
    <row r="63">
      <c r="A63" s="26" t="inlineStr">
        <is>
          <t xml:space="preserve">3. Expediting visit/ Attending meeting with project/.Client: At  actual </t>
        </is>
      </c>
    </row>
    <row r="64">
      <c r="A64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5">
      <c r="A65" s="26" t="inlineStr">
        <is>
          <t xml:space="preserve">5. Review of ITP for Equipment (Mechanical and Electrical/DCS etc): Average 2 hours/order </t>
        </is>
      </c>
      <c r="O65" t="inlineStr">
        <is>
          <t xml:space="preserve"> </t>
        </is>
      </c>
    </row>
    <row r="66">
      <c r="A66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7">
      <c r="A67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8">
      <c r="A68" s="26" t="inlineStr">
        <is>
          <t xml:space="preserve">8. Order Closing report: Average 2 hours/Order  </t>
        </is>
      </c>
    </row>
    <row r="69">
      <c r="A69" s="27" t="n"/>
    </row>
    <row r="70">
      <c r="L70" t="inlineStr">
        <is>
          <t xml:space="preserve"> </t>
        </is>
      </c>
    </row>
  </sheetData>
  <mergeCells count="7">
    <mergeCell ref="I11:K11"/>
    <mergeCell ref="I10:K10"/>
    <mergeCell ref="I59:K59"/>
    <mergeCell ref="A2:K2"/>
    <mergeCell ref="L2:O2"/>
    <mergeCell ref="I3:K3"/>
    <mergeCell ref="A1:K1"/>
  </mergeCells>
  <pageMargins left="0.7" right="0.7" top="0.75" bottom="0.75" header="0.3" footer="0.3"/>
  <pageSetup orientation="landscape" paperSize="9"/>
</worksheet>
</file>

<file path=xl/worksheets/sheet23.xml><?xml version="1.0" encoding="utf-8"?>
<worksheet xmlns="http://schemas.openxmlformats.org/spreadsheetml/2006/main">
  <sheetPr>
    <tabColor theme="0"/>
    <outlinePr summaryBelow="1" summaryRight="1"/>
    <pageSetUpPr fitToPage="1"/>
  </sheetPr>
  <dimension ref="A1:Y67"/>
  <sheetViews>
    <sheetView topLeftCell="A43" zoomScale="85" zoomScaleNormal="85" workbookViewId="0">
      <selection activeCell="K4" sqref="K4:K56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46023</v>
      </c>
      <c r="M1" s="122" t="inlineStr">
        <is>
          <t xml:space="preserve">Total MH reqd: </t>
        </is>
      </c>
      <c r="O1" s="122">
        <f>ConsolidatedMHrequirementJan26!A2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04/02/26</t>
        </is>
      </c>
      <c r="L3" s="33" t="inlineStr">
        <is>
          <t>Shortfall</t>
        </is>
      </c>
    </row>
    <row r="4" ht="15" customHeight="1" s="125">
      <c r="A4" s="71" t="n">
        <v>4994</v>
      </c>
      <c r="B4" s="3">
        <f>ConsolidatedMHrequirementJan26!B4</f>
        <v/>
      </c>
      <c r="C4" s="3" t="n"/>
      <c r="D4" s="3" t="n"/>
      <c r="E4" s="3" t="n"/>
      <c r="F4" s="41">
        <f>VLOOKUP(A4,ConsolidatedMHrequirementJan26!$A$4:$K$55,4,FALSE)</f>
        <v/>
      </c>
      <c r="G4" s="3">
        <f>ConsolidatedMHrequirementJan26!F4</f>
        <v/>
      </c>
      <c r="H4" s="3">
        <f>ConsolidatedMHrequirementJan26!E4</f>
        <v/>
      </c>
      <c r="I4" s="3">
        <f>ConsolidatedMHrequirementJan26!G4</f>
        <v/>
      </c>
      <c r="J4" s="41">
        <f>VLOOKUP(A4,ConsolidatedMHrequirementJan26!$A$4:$K$55,8,FALSE)</f>
        <v/>
      </c>
      <c r="K4" s="3" t="n">
        <v>16</v>
      </c>
      <c r="L4" s="3">
        <f>J4-K4</f>
        <v/>
      </c>
      <c r="M4" s="69">
        <f>ConsolidatedMHrequirementJan26!I4</f>
        <v/>
      </c>
    </row>
    <row r="5">
      <c r="A5" s="71" t="n">
        <v>6979</v>
      </c>
      <c r="B5" s="3">
        <f>ConsolidatedMHrequirementJan26!B5</f>
        <v/>
      </c>
      <c r="C5" s="3" t="n"/>
      <c r="D5" s="3" t="n"/>
      <c r="E5" s="3" t="n"/>
      <c r="F5" s="41">
        <f>VLOOKUP(A5,ConsolidatedMHrequirementJan26!$A$4:$K$55,4,FALSE)</f>
        <v/>
      </c>
      <c r="G5" s="3">
        <f>ConsolidatedMHrequirementJan26!F5</f>
        <v/>
      </c>
      <c r="H5" s="3">
        <f>ConsolidatedMHrequirementJan26!E5</f>
        <v/>
      </c>
      <c r="I5" s="3">
        <f>ConsolidatedMHrequirementJan26!G5</f>
        <v/>
      </c>
      <c r="J5" s="41">
        <f>VLOOKUP(A5,ConsolidatedMHrequirementJan26!$A$4:$K$55,8,FALSE)</f>
        <v/>
      </c>
      <c r="K5" s="3" t="n">
        <v>0</v>
      </c>
      <c r="L5" s="3">
        <f>J5-K5</f>
        <v/>
      </c>
      <c r="M5" s="69">
        <f>ConsolidatedMHrequirementJan26!I5</f>
        <v/>
      </c>
      <c r="N5" s="69" t="n"/>
      <c r="O5" s="69" t="n"/>
      <c r="P5" s="69" t="n"/>
      <c r="Q5" s="69" t="n"/>
      <c r="R5" s="69" t="n"/>
      <c r="S5" s="69" t="n"/>
      <c r="T5" s="69" t="n"/>
    </row>
    <row r="6" ht="14.5" customFormat="1" customHeight="1" s="34">
      <c r="A6" s="71" t="n">
        <v>7716</v>
      </c>
      <c r="B6" s="3">
        <f>ConsolidatedMHrequirementJan26!B6</f>
        <v/>
      </c>
      <c r="C6" s="3" t="n"/>
      <c r="D6" s="3" t="n"/>
      <c r="E6" s="3" t="n"/>
      <c r="F6" s="41">
        <f>VLOOKUP(A6,ConsolidatedMHrequirementJan26!$A$4:$K$55,4,FALSE)</f>
        <v/>
      </c>
      <c r="G6" s="3">
        <f>ConsolidatedMHrequirementJan26!F6</f>
        <v/>
      </c>
      <c r="H6" s="3">
        <f>ConsolidatedMHrequirementJan26!E6</f>
        <v/>
      </c>
      <c r="I6" s="3">
        <f>ConsolidatedMHrequirementJan26!G6</f>
        <v/>
      </c>
      <c r="J6" s="41">
        <f>VLOOKUP(A6,ConsolidatedMHrequirementJan26!$A$4:$K$55,8,FALSE)</f>
        <v/>
      </c>
      <c r="K6" s="3" t="n">
        <v>16</v>
      </c>
      <c r="L6" s="3">
        <f>J6-K6</f>
        <v/>
      </c>
      <c r="M6" s="69">
        <f>ConsolidatedMHrequirementJan26!I6</f>
        <v/>
      </c>
      <c r="N6" s="69" t="n"/>
      <c r="O6" s="69" t="n"/>
      <c r="P6" s="69" t="n"/>
      <c r="Q6" s="69" t="n"/>
      <c r="R6" s="69" t="n"/>
      <c r="S6" s="69" t="n"/>
      <c r="T6" s="69" t="n"/>
    </row>
    <row r="7" ht="14.5" customFormat="1" customHeight="1" s="34">
      <c r="A7" s="71" t="n">
        <v>8518</v>
      </c>
      <c r="B7" s="3">
        <f>ConsolidatedMHrequirementJan26!B7</f>
        <v/>
      </c>
      <c r="C7" s="3" t="n"/>
      <c r="D7" s="3" t="n"/>
      <c r="E7" s="3" t="n"/>
      <c r="F7" s="41">
        <f>VLOOKUP(A7,ConsolidatedMHrequirementJan26!$A$4:$K$55,4,FALSE)</f>
        <v/>
      </c>
      <c r="G7" s="3">
        <f>ConsolidatedMHrequirementJan26!F7</f>
        <v/>
      </c>
      <c r="H7" s="3">
        <f>ConsolidatedMHrequirementJan26!E7</f>
        <v/>
      </c>
      <c r="I7" s="3">
        <f>ConsolidatedMHrequirementJan26!G7</f>
        <v/>
      </c>
      <c r="J7" s="41">
        <f>VLOOKUP(A7,ConsolidatedMHrequirementJan26!$A$4:$K$55,8,FALSE)</f>
        <v/>
      </c>
      <c r="K7" s="3" t="n">
        <v>0</v>
      </c>
      <c r="L7" s="3">
        <f>J7-K7</f>
        <v/>
      </c>
      <c r="M7" s="69">
        <f>ConsolidatedMHrequirementJan26!I7</f>
        <v/>
      </c>
      <c r="N7" s="69" t="n"/>
      <c r="O7" s="69" t="n"/>
      <c r="P7" s="69" t="n"/>
      <c r="Q7" s="69" t="n"/>
      <c r="R7" s="69" t="n"/>
      <c r="S7" s="69" t="n"/>
      <c r="T7" s="69" t="n"/>
    </row>
    <row r="8" ht="14.5" customFormat="1" customHeight="1" s="34">
      <c r="A8" s="71" t="n">
        <v>8590</v>
      </c>
      <c r="B8" s="3">
        <f>ConsolidatedMHrequirementJan26!B8</f>
        <v/>
      </c>
      <c r="C8" s="3" t="n"/>
      <c r="D8" s="3" t="n"/>
      <c r="E8" s="3" t="n"/>
      <c r="F8" s="41">
        <f>VLOOKUP(A8,ConsolidatedMHrequirementJan26!$A$4:$K$55,4,FALSE)</f>
        <v/>
      </c>
      <c r="G8" s="3">
        <f>ConsolidatedMHrequirementJan26!F8</f>
        <v/>
      </c>
      <c r="H8" s="3">
        <f>ConsolidatedMHrequirementJan26!E8</f>
        <v/>
      </c>
      <c r="I8" s="3">
        <f>ConsolidatedMHrequirementJan26!G8</f>
        <v/>
      </c>
      <c r="J8" s="41">
        <f>VLOOKUP(A8,ConsolidatedMHrequirementJan26!$A$4:$K$55,8,FALSE)</f>
        <v/>
      </c>
      <c r="K8" s="3" t="n">
        <v>0</v>
      </c>
      <c r="L8" s="3">
        <f>J8-K8</f>
        <v/>
      </c>
      <c r="M8" s="69">
        <f>ConsolidatedMHrequirementJan26!I8</f>
        <v/>
      </c>
      <c r="N8" s="69" t="n"/>
      <c r="O8" s="69" t="n"/>
      <c r="P8" s="69" t="n"/>
      <c r="Q8" s="69" t="n"/>
      <c r="R8" s="69" t="n"/>
      <c r="S8" s="69" t="n"/>
      <c r="T8" s="69" t="n"/>
    </row>
    <row r="9" customFormat="1" s="34">
      <c r="A9" s="10" t="inlineStr">
        <is>
          <t>B016</t>
        </is>
      </c>
      <c r="B9" s="3">
        <f>ConsolidatedMHrequirementJan26!B9</f>
        <v/>
      </c>
      <c r="C9" s="3" t="n"/>
      <c r="D9" s="3" t="n"/>
      <c r="E9" s="3" t="n"/>
      <c r="F9" s="41">
        <f>VLOOKUP(A9,ConsolidatedMHrequirementJan26!$A$4:$K$55,4,FALSE)</f>
        <v/>
      </c>
      <c r="G9" s="3">
        <f>ConsolidatedMHrequirementJan26!F9</f>
        <v/>
      </c>
      <c r="H9" s="3">
        <f>ConsolidatedMHrequirementJan26!E9</f>
        <v/>
      </c>
      <c r="I9" s="3">
        <f>ConsolidatedMHrequirementJan26!G9</f>
        <v/>
      </c>
      <c r="J9" s="41">
        <f>VLOOKUP(A9,ConsolidatedMHrequirementJan26!$A$4:$K$55,8,FALSE)</f>
        <v/>
      </c>
      <c r="K9" s="3" t="n">
        <v>0</v>
      </c>
      <c r="L9" s="3">
        <f>J9-K9</f>
        <v/>
      </c>
      <c r="M9" s="69">
        <f>ConsolidatedMHrequirementJan26!I9</f>
        <v/>
      </c>
      <c r="N9" s="69" t="n"/>
      <c r="O9" s="69" t="n"/>
      <c r="P9" s="69" t="n"/>
      <c r="Q9" s="69" t="n"/>
      <c r="R9" s="69" t="n"/>
      <c r="S9" s="69" t="n"/>
      <c r="T9" s="69" t="n"/>
    </row>
    <row r="10" ht="15" customFormat="1" customHeight="1" s="34">
      <c r="A10" s="10" t="inlineStr">
        <is>
          <t>B035</t>
        </is>
      </c>
      <c r="B10" s="3">
        <f>ConsolidatedMHrequirementJan26!B10</f>
        <v/>
      </c>
      <c r="C10" s="3" t="n"/>
      <c r="D10" s="3" t="n"/>
      <c r="E10" s="3" t="n"/>
      <c r="F10" s="41">
        <f>VLOOKUP(A10,ConsolidatedMHrequirementJan26!$A$4:$K$55,4,FALSE)</f>
        <v/>
      </c>
      <c r="G10" s="3">
        <f>ConsolidatedMHrequirementJan26!F10</f>
        <v/>
      </c>
      <c r="H10" s="3">
        <f>ConsolidatedMHrequirementJan26!E10</f>
        <v/>
      </c>
      <c r="I10" s="3">
        <f>ConsolidatedMHrequirementJan26!G10</f>
        <v/>
      </c>
      <c r="J10" s="41">
        <f>VLOOKUP(A10,ConsolidatedMHrequirementJan26!$A$4:$K$55,8,FALSE)</f>
        <v/>
      </c>
      <c r="K10" s="3" t="n">
        <v>0</v>
      </c>
      <c r="L10" s="3">
        <f>J10-K10</f>
        <v/>
      </c>
      <c r="M10" s="69">
        <f>ConsolidatedMHrequirementJan26!I10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t="16.5" customFormat="1" customHeight="1" s="34">
      <c r="A11" s="10" t="inlineStr">
        <is>
          <t>B038</t>
        </is>
      </c>
      <c r="B11" s="3">
        <f>ConsolidatedMHrequirementJan26!B11</f>
        <v/>
      </c>
      <c r="C11" s="3" t="n"/>
      <c r="D11" s="3" t="n"/>
      <c r="E11" s="3" t="n"/>
      <c r="F11" s="41">
        <f>VLOOKUP(A11,ConsolidatedMHrequirementJan26!$A$4:$K$55,4,FALSE)</f>
        <v/>
      </c>
      <c r="G11" s="3">
        <f>ConsolidatedMHrequirementJan26!F11</f>
        <v/>
      </c>
      <c r="H11" s="3">
        <f>ConsolidatedMHrequirementJan26!E11</f>
        <v/>
      </c>
      <c r="I11" s="3">
        <f>ConsolidatedMHrequirementJan26!G11</f>
        <v/>
      </c>
      <c r="J11" s="41">
        <f>VLOOKUP(A11,ConsolidatedMHrequirementJan26!$A$4:$K$55,8,FALSE)</f>
        <v/>
      </c>
      <c r="K11" s="3" t="n">
        <v>0</v>
      </c>
      <c r="L11" s="3">
        <f>J11-K11</f>
        <v/>
      </c>
      <c r="M11" s="69">
        <f>ConsolidatedMHrequirementJan26!I11</f>
        <v/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customFormat="1" s="34">
      <c r="A12" s="10" t="inlineStr">
        <is>
          <t>B058</t>
        </is>
      </c>
      <c r="B12" s="3">
        <f>ConsolidatedMHrequirementJan26!B12</f>
        <v/>
      </c>
      <c r="C12" s="3" t="n"/>
      <c r="D12" s="3" t="n"/>
      <c r="E12" s="3" t="n"/>
      <c r="F12" s="41">
        <f>VLOOKUP(A12,ConsolidatedMHrequirementJan26!$A$4:$K$55,4,FALSE)</f>
        <v/>
      </c>
      <c r="G12" s="3">
        <f>ConsolidatedMHrequirementJan26!F12</f>
        <v/>
      </c>
      <c r="H12" s="3">
        <f>ConsolidatedMHrequirementJan26!E12</f>
        <v/>
      </c>
      <c r="I12" s="3">
        <f>ConsolidatedMHrequirementJan26!G12</f>
        <v/>
      </c>
      <c r="J12" s="41">
        <f>VLOOKUP(A12,ConsolidatedMHrequirementJan26!$A$4:$K$55,8,FALSE)</f>
        <v/>
      </c>
      <c r="K12" s="3" t="n">
        <v>0</v>
      </c>
      <c r="L12" s="3">
        <f>J12-K12</f>
        <v/>
      </c>
      <c r="M12" s="69">
        <f>ConsolidatedMHrequirementJan26!I12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ConsolidatedMHrequirementJan26!B13</f>
        <v/>
      </c>
      <c r="C13" s="3" t="n"/>
      <c r="D13" s="3" t="n"/>
      <c r="E13" s="3" t="n"/>
      <c r="F13" s="41">
        <f>VLOOKUP(A13,ConsolidatedMHrequirementJan26!$A$4:$K$55,4,FALSE)</f>
        <v/>
      </c>
      <c r="G13" s="3">
        <f>ConsolidatedMHrequirementJan26!F13</f>
        <v/>
      </c>
      <c r="H13" s="3">
        <f>ConsolidatedMHrequirementJan26!E13</f>
        <v/>
      </c>
      <c r="I13" s="3">
        <f>ConsolidatedMHrequirementJan26!G13</f>
        <v/>
      </c>
      <c r="J13" s="41">
        <f>VLOOKUP(A13,ConsolidatedMHrequirementJan26!$A$4:$K$55,8,FALSE)</f>
        <v/>
      </c>
      <c r="K13" s="3" t="n">
        <v>0</v>
      </c>
      <c r="L13" s="3">
        <f>J13-K13</f>
        <v/>
      </c>
      <c r="M13" s="69">
        <f>ConsolidatedMHrequirementJan26!I13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customFormat="1" s="34">
      <c r="A14" s="10" t="inlineStr">
        <is>
          <t>B229</t>
        </is>
      </c>
      <c r="B14" s="3">
        <f>ConsolidatedMHrequirementJan26!B14</f>
        <v/>
      </c>
      <c r="C14" s="3" t="n"/>
      <c r="D14" s="3" t="n"/>
      <c r="E14" s="3" t="n"/>
      <c r="F14" s="41">
        <f>VLOOKUP(A14,ConsolidatedMHrequirementJan26!$A$4:$K$55,4,FALSE)</f>
        <v/>
      </c>
      <c r="G14" s="3">
        <f>ConsolidatedMHrequirementJan26!F14</f>
        <v/>
      </c>
      <c r="H14" s="3">
        <f>ConsolidatedMHrequirementJan26!E14</f>
        <v/>
      </c>
      <c r="I14" s="3">
        <f>ConsolidatedMHrequirementJan26!G14</f>
        <v/>
      </c>
      <c r="J14" s="41">
        <f>VLOOKUP(A14,ConsolidatedMHrequirementJan26!$A$4:$K$55,8,FALSE)</f>
        <v/>
      </c>
      <c r="K14" s="3" t="n">
        <v>0</v>
      </c>
      <c r="L14" s="3">
        <f>J14-K14</f>
        <v/>
      </c>
      <c r="M14" s="69">
        <f>ConsolidatedMHrequirementJan26!I14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ConsolidatedMHrequirementJan26!B15</f>
        <v/>
      </c>
      <c r="C15" s="3" t="n"/>
      <c r="D15" s="3" t="n"/>
      <c r="E15" s="3" t="n"/>
      <c r="F15" s="41">
        <f>VLOOKUP(A15,ConsolidatedMHrequirementJan26!$A$4:$K$55,4,FALSE)</f>
        <v/>
      </c>
      <c r="G15" s="3">
        <f>ConsolidatedMHrequirementJan26!F15</f>
        <v/>
      </c>
      <c r="H15" s="3">
        <f>ConsolidatedMHrequirementJan26!E15</f>
        <v/>
      </c>
      <c r="I15" s="3">
        <f>ConsolidatedMHrequirementJan26!G15</f>
        <v/>
      </c>
      <c r="J15" s="41">
        <f>VLOOKUP(A15,ConsolidatedMHrequirementJan26!$A$4:$K$55,8,FALSE)</f>
        <v/>
      </c>
      <c r="K15" s="3" t="n">
        <v>22</v>
      </c>
      <c r="L15" s="3">
        <f>J15-K15</f>
        <v/>
      </c>
      <c r="M15" s="69">
        <f>ConsolidatedMHrequirementJan26!I15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customFormat="1" s="34">
      <c r="A16" s="10" t="inlineStr">
        <is>
          <t>B285</t>
        </is>
      </c>
      <c r="B16" s="3">
        <f>ConsolidatedMHrequirementJan26!B16</f>
        <v/>
      </c>
      <c r="C16" s="3" t="n"/>
      <c r="D16" s="3" t="n"/>
      <c r="E16" s="3" t="n"/>
      <c r="F16" s="41">
        <f>VLOOKUP(A16,ConsolidatedMHrequirementJan26!$A$4:$K$55,4,FALSE)</f>
        <v/>
      </c>
      <c r="G16" s="3">
        <f>ConsolidatedMHrequirementJan26!F16</f>
        <v/>
      </c>
      <c r="H16" s="3">
        <f>ConsolidatedMHrequirementJan26!E16</f>
        <v/>
      </c>
      <c r="I16" s="3">
        <f>ConsolidatedMHrequirementJan26!G16</f>
        <v/>
      </c>
      <c r="J16" s="41">
        <f>VLOOKUP(A16,ConsolidatedMHrequirementJan26!$A$4:$K$55,8,FALSE)</f>
        <v/>
      </c>
      <c r="K16" s="3" t="n">
        <v>0</v>
      </c>
      <c r="L16" s="3">
        <f>J16-K16</f>
        <v/>
      </c>
      <c r="M16" s="69">
        <f>ConsolidatedMHrequirementJan26!I16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ConsolidatedMHrequirementJan26!B17</f>
        <v/>
      </c>
      <c r="C17" s="3" t="n"/>
      <c r="D17" s="3" t="n"/>
      <c r="E17" s="3" t="n"/>
      <c r="F17" s="41">
        <f>VLOOKUP(A17,ConsolidatedMHrequirementJan26!$A$4:$K$55,4,FALSE)</f>
        <v/>
      </c>
      <c r="G17" s="3">
        <f>ConsolidatedMHrequirementJan26!F17</f>
        <v/>
      </c>
      <c r="H17" s="3">
        <f>ConsolidatedMHrequirementJan26!E17</f>
        <v/>
      </c>
      <c r="I17" s="3">
        <f>ConsolidatedMHrequirementJan26!G17</f>
        <v/>
      </c>
      <c r="J17" s="41">
        <f>VLOOKUP(A17,ConsolidatedMHrequirementJan26!$A$4:$K$55,8,FALSE)</f>
        <v/>
      </c>
      <c r="K17" s="3" t="n">
        <v>0</v>
      </c>
      <c r="L17" s="3">
        <f>J17-K17</f>
        <v/>
      </c>
      <c r="M17" s="69">
        <f>ConsolidatedMHrequirementJan26!I17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ConsolidatedMHrequirementJan26!B18</f>
        <v/>
      </c>
      <c r="C18" s="3" t="n"/>
      <c r="D18" s="3" t="n"/>
      <c r="E18" s="3" t="n"/>
      <c r="F18" s="41">
        <f>VLOOKUP(A18,ConsolidatedMHrequirementJan26!$A$4:$K$55,4,FALSE)</f>
        <v/>
      </c>
      <c r="G18" s="3">
        <f>ConsolidatedMHrequirementJan26!F18</f>
        <v/>
      </c>
      <c r="H18" s="3">
        <f>ConsolidatedMHrequirementJan26!E18</f>
        <v/>
      </c>
      <c r="I18" s="3">
        <f>ConsolidatedMHrequirementJan26!G18</f>
        <v/>
      </c>
      <c r="J18" s="41">
        <f>VLOOKUP(A18,ConsolidatedMHrequirementJan26!$A$4:$K$55,8,FALSE)</f>
        <v/>
      </c>
      <c r="K18" s="3" t="n">
        <v>0</v>
      </c>
      <c r="L18" s="3">
        <f>J18-K18</f>
        <v/>
      </c>
      <c r="M18" s="69">
        <f>ConsolidatedMHrequirementJan26!I18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t="15" customFormat="1" customHeight="1" s="34">
      <c r="A19" s="10" t="inlineStr">
        <is>
          <t>B348</t>
        </is>
      </c>
      <c r="B19" s="3">
        <f>ConsolidatedMHrequirementJan26!B19</f>
        <v/>
      </c>
      <c r="C19" s="3" t="n"/>
      <c r="D19" s="3" t="n"/>
      <c r="E19" s="3" t="n"/>
      <c r="F19" s="41">
        <f>VLOOKUP(A19,ConsolidatedMHrequirementJan26!$A$4:$K$55,4,FALSE)</f>
        <v/>
      </c>
      <c r="G19" s="3">
        <f>ConsolidatedMHrequirementJan26!F19</f>
        <v/>
      </c>
      <c r="H19" s="3">
        <f>ConsolidatedMHrequirementJan26!E19</f>
        <v/>
      </c>
      <c r="I19" s="3">
        <f>ConsolidatedMHrequirementJan26!G19</f>
        <v/>
      </c>
      <c r="J19" s="41">
        <f>VLOOKUP(A19,ConsolidatedMHrequirementJan26!$A$4:$K$55,8,FALSE)</f>
        <v/>
      </c>
      <c r="K19" s="3" t="n">
        <v>0</v>
      </c>
      <c r="L19" s="3">
        <f>J19-K19</f>
        <v/>
      </c>
      <c r="M19" s="69">
        <f>ConsolidatedMHrequirementJan26!I19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t="15.5" customFormat="1" customHeight="1" s="34">
      <c r="A20" s="10" t="inlineStr">
        <is>
          <t>B359</t>
        </is>
      </c>
      <c r="B20" s="3">
        <f>ConsolidatedMHrequirementJan26!B20</f>
        <v/>
      </c>
      <c r="C20" s="3" t="n"/>
      <c r="D20" s="3" t="n"/>
      <c r="E20" s="3" t="n"/>
      <c r="F20" s="41">
        <f>VLOOKUP(A20,ConsolidatedMHrequirementJan26!$A$4:$K$55,4,FALSE)</f>
        <v/>
      </c>
      <c r="G20" s="3">
        <f>ConsolidatedMHrequirementJan26!F20</f>
        <v/>
      </c>
      <c r="H20" s="3">
        <f>ConsolidatedMHrequirementJan26!E20</f>
        <v/>
      </c>
      <c r="I20" s="3">
        <f>ConsolidatedMHrequirementJan26!G20</f>
        <v/>
      </c>
      <c r="J20" s="41">
        <f>VLOOKUP(A20,ConsolidatedMHrequirementJan26!$A$4:$K$55,8,FALSE)</f>
        <v/>
      </c>
      <c r="K20" s="3" t="n">
        <v>0</v>
      </c>
      <c r="L20" s="3">
        <f>J20-K20</f>
        <v/>
      </c>
      <c r="M20" s="69">
        <f>ConsolidatedMHrequirementJan26!I20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t="15" customFormat="1" customHeight="1" s="34">
      <c r="A21" s="10" t="inlineStr">
        <is>
          <t>B378</t>
        </is>
      </c>
      <c r="B21" s="3">
        <f>ConsolidatedMHrequirementJan26!B21</f>
        <v/>
      </c>
      <c r="C21" s="3" t="n"/>
      <c r="D21" s="3" t="n"/>
      <c r="E21" s="3" t="n"/>
      <c r="F21" s="41">
        <f>VLOOKUP(A21,ConsolidatedMHrequirementJan26!$A$4:$K$55,4,FALSE)</f>
        <v/>
      </c>
      <c r="G21" s="3">
        <f>ConsolidatedMHrequirementJan26!F21</f>
        <v/>
      </c>
      <c r="H21" s="3">
        <f>ConsolidatedMHrequirementJan26!E21</f>
        <v/>
      </c>
      <c r="I21" s="3">
        <f>ConsolidatedMHrequirementJan26!G21</f>
        <v/>
      </c>
      <c r="J21" s="41">
        <f>VLOOKUP(A21,ConsolidatedMHrequirementJan26!$A$4:$K$55,8,FALSE)</f>
        <v/>
      </c>
      <c r="K21" s="3" t="n">
        <v>66</v>
      </c>
      <c r="L21" s="3">
        <f>J21-K21</f>
        <v/>
      </c>
      <c r="M21" s="69">
        <f>ConsolidatedMHrequirementJan26!I21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B398</t>
        </is>
      </c>
      <c r="B22" s="3">
        <f>ConsolidatedMHrequirementJan26!B22</f>
        <v/>
      </c>
      <c r="C22" s="3" t="n"/>
      <c r="D22" s="3" t="n"/>
      <c r="E22" s="3" t="n"/>
      <c r="F22" s="41">
        <f>VLOOKUP(A22,ConsolidatedMHrequirementJan26!$A$4:$K$55,4,FALSE)</f>
        <v/>
      </c>
      <c r="G22" s="3">
        <f>ConsolidatedMHrequirementJan26!F22</f>
        <v/>
      </c>
      <c r="H22" s="3">
        <f>ConsolidatedMHrequirementJan26!E22</f>
        <v/>
      </c>
      <c r="I22" s="3">
        <f>ConsolidatedMHrequirementJan26!G22</f>
        <v/>
      </c>
      <c r="J22" s="41">
        <f>VLOOKUP(A22,ConsolidatedMHrequirementJan26!$A$4:$K$55,8,FALSE)</f>
        <v/>
      </c>
      <c r="K22" s="3" t="n">
        <v>0</v>
      </c>
      <c r="L22" s="3">
        <f>J22-K22</f>
        <v/>
      </c>
      <c r="M22" s="69">
        <f>ConsolidatedMHrequirementJan26!I22</f>
        <v/>
      </c>
      <c r="N22" s="69" t="n"/>
      <c r="O22" s="69" t="n"/>
      <c r="P22" s="69" t="n"/>
      <c r="Q22" s="69" t="n"/>
      <c r="R22" s="69" t="n"/>
      <c r="S22" s="69" t="n"/>
      <c r="T22" s="69" t="n"/>
    </row>
    <row r="23" ht="15" customFormat="1" customHeight="1" s="34">
      <c r="A23" s="10" t="inlineStr">
        <is>
          <t>B411</t>
        </is>
      </c>
      <c r="B23" s="3">
        <f>ConsolidatedMHrequirementJan26!B23</f>
        <v/>
      </c>
      <c r="C23" s="3" t="n"/>
      <c r="D23" s="3" t="n"/>
      <c r="E23" s="3" t="n"/>
      <c r="F23" s="41">
        <f>VLOOKUP(A23,ConsolidatedMHrequirementJan26!$A$4:$K$55,4,FALSE)</f>
        <v/>
      </c>
      <c r="G23" s="3">
        <f>ConsolidatedMHrequirementJan26!F23</f>
        <v/>
      </c>
      <c r="H23" s="3">
        <f>ConsolidatedMHrequirementJan26!E23</f>
        <v/>
      </c>
      <c r="I23" s="3">
        <f>ConsolidatedMHrequirementJan26!G23</f>
        <v/>
      </c>
      <c r="J23" s="41">
        <f>VLOOKUP(A23,ConsolidatedMHrequirementJan26!$A$4:$K$55,8,FALSE)</f>
        <v/>
      </c>
      <c r="K23" s="3" t="n">
        <v>0</v>
      </c>
      <c r="L23" s="3">
        <f>J23-K23</f>
        <v/>
      </c>
      <c r="M23" s="69">
        <f>ConsolidatedMHrequirementJan26!I23</f>
        <v/>
      </c>
      <c r="N23" s="69" t="n"/>
      <c r="O23" s="69" t="n"/>
      <c r="P23" s="69" t="n"/>
      <c r="Q23" s="69" t="n"/>
      <c r="R23" s="69" t="n"/>
      <c r="S23" s="69" t="n"/>
      <c r="T23" s="69" t="n"/>
    </row>
    <row r="24" ht="15" customFormat="1" customHeight="1" s="34">
      <c r="A24" s="10" t="inlineStr">
        <is>
          <t>B414</t>
        </is>
      </c>
      <c r="B24" s="3">
        <f>ConsolidatedMHrequirementJan26!B24</f>
        <v/>
      </c>
      <c r="C24" s="3" t="n"/>
      <c r="D24" s="3" t="n"/>
      <c r="E24" s="3" t="n"/>
      <c r="F24" s="41">
        <f>VLOOKUP(A24,ConsolidatedMHrequirementJan26!$A$4:$K$55,4,FALSE)</f>
        <v/>
      </c>
      <c r="G24" s="3">
        <f>ConsolidatedMHrequirementJan26!F24</f>
        <v/>
      </c>
      <c r="H24" s="3">
        <f>ConsolidatedMHrequirementJan26!E24</f>
        <v/>
      </c>
      <c r="I24" s="3">
        <f>ConsolidatedMHrequirementJan26!G24</f>
        <v/>
      </c>
      <c r="J24" s="41">
        <f>VLOOKUP(A24,ConsolidatedMHrequirementJan26!$A$4:$K$55,8,FALSE)</f>
        <v/>
      </c>
      <c r="K24" s="3" t="n">
        <v>0</v>
      </c>
      <c r="L24" s="3">
        <f>J24-K24</f>
        <v/>
      </c>
      <c r="M24" s="69">
        <f>ConsolidatedMHrequirementJan26!I24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t="15" customFormat="1" customHeight="1" s="34">
      <c r="A25" s="10" t="inlineStr">
        <is>
          <t>B436</t>
        </is>
      </c>
      <c r="B25" s="3">
        <f>ConsolidatedMHrequirementJan26!B25</f>
        <v/>
      </c>
      <c r="C25" s="3" t="n"/>
      <c r="D25" s="3" t="n"/>
      <c r="E25" s="3" t="n"/>
      <c r="F25" s="41">
        <f>VLOOKUP(A25,ConsolidatedMHrequirementJan26!$A$4:$K$55,4,FALSE)</f>
        <v/>
      </c>
      <c r="G25" s="3">
        <f>ConsolidatedMHrequirementJan26!F25</f>
        <v/>
      </c>
      <c r="H25" s="3">
        <f>ConsolidatedMHrequirementJan26!E25</f>
        <v/>
      </c>
      <c r="I25" s="3">
        <f>ConsolidatedMHrequirementJan26!G25</f>
        <v/>
      </c>
      <c r="J25" s="41">
        <f>VLOOKUP(A25,ConsolidatedMHrequirementJan26!$A$4:$K$55,8,FALSE)</f>
        <v/>
      </c>
      <c r="K25" s="3" t="n">
        <v>0</v>
      </c>
      <c r="L25" s="3">
        <f>J25-K25</f>
        <v/>
      </c>
      <c r="M25" s="69">
        <f>ConsolidatedMHrequirementJan26!I25</f>
        <v/>
      </c>
      <c r="N25" s="69" t="n"/>
      <c r="O25" s="69" t="n"/>
      <c r="P25" s="69" t="n"/>
      <c r="Q25" s="69" t="n"/>
      <c r="R25" s="69" t="n"/>
      <c r="S25" s="69" t="n"/>
      <c r="T25" s="69" t="n"/>
      <c r="V25" s="48" t="n"/>
      <c r="W25" s="48" t="n"/>
      <c r="X25" s="48" t="n"/>
      <c r="Y25" s="48" t="n"/>
    </row>
    <row r="26" ht="15" customFormat="1" customHeight="1" s="34">
      <c r="A26" s="10" t="inlineStr">
        <is>
          <t>B440</t>
        </is>
      </c>
      <c r="B26" s="3">
        <f>ConsolidatedMHrequirementJan26!B26</f>
        <v/>
      </c>
      <c r="C26" s="3" t="n"/>
      <c r="D26" s="3" t="n"/>
      <c r="E26" s="3" t="n"/>
      <c r="F26" s="41">
        <f>VLOOKUP(A26,ConsolidatedMHrequirementJan26!$A$4:$K$55,4,FALSE)</f>
        <v/>
      </c>
      <c r="G26" s="3">
        <f>ConsolidatedMHrequirementJan26!F26</f>
        <v/>
      </c>
      <c r="H26" s="3">
        <f>ConsolidatedMHrequirementJan26!E26</f>
        <v/>
      </c>
      <c r="I26" s="3">
        <f>ConsolidatedMHrequirementJan26!G26</f>
        <v/>
      </c>
      <c r="J26" s="41">
        <f>VLOOKUP(A26,ConsolidatedMHrequirementJan26!$A$4:$K$55,8,FALSE)</f>
        <v/>
      </c>
      <c r="K26" s="3" t="n">
        <v>0</v>
      </c>
      <c r="L26" s="3">
        <f>J26-K26</f>
        <v/>
      </c>
      <c r="M26" s="69">
        <f>ConsolidatedMHrequirementJan26!I26</f>
        <v/>
      </c>
      <c r="N26" s="69" t="n"/>
      <c r="O26" s="69" t="n"/>
      <c r="P26" s="69" t="n"/>
      <c r="Q26" s="69" t="n"/>
      <c r="R26" s="69" t="n"/>
      <c r="S26" s="69" t="n"/>
      <c r="T26" s="69" t="n"/>
      <c r="V26" s="48" t="n"/>
      <c r="W26" s="48" t="n"/>
      <c r="X26" s="48" t="n"/>
      <c r="Y26" s="48" t="n"/>
    </row>
    <row r="27" ht="15" customFormat="1" customHeight="1" s="34">
      <c r="A27" s="10" t="inlineStr">
        <is>
          <t>B448</t>
        </is>
      </c>
      <c r="B27" s="3">
        <f>ConsolidatedMHrequirementJan26!B27</f>
        <v/>
      </c>
      <c r="C27" s="3" t="n"/>
      <c r="D27" s="3" t="n"/>
      <c r="E27" s="3" t="n"/>
      <c r="F27" s="41">
        <f>VLOOKUP(A27,ConsolidatedMHrequirementJan26!$A$4:$K$55,4,FALSE)</f>
        <v/>
      </c>
      <c r="G27" s="3">
        <f>ConsolidatedMHrequirementJan26!F27</f>
        <v/>
      </c>
      <c r="H27" s="3">
        <f>ConsolidatedMHrequirementJan26!E27</f>
        <v/>
      </c>
      <c r="I27" s="3">
        <f>ConsolidatedMHrequirementJan26!G27</f>
        <v/>
      </c>
      <c r="J27" s="41">
        <f>VLOOKUP(A27,ConsolidatedMHrequirementJan26!$A$4:$K$55,8,FALSE)</f>
        <v/>
      </c>
      <c r="K27" s="3" t="n">
        <v>0</v>
      </c>
      <c r="L27" s="3">
        <f>J27-K27</f>
        <v/>
      </c>
      <c r="M27" s="69">
        <f>ConsolidatedMHrequirementJan26!I27</f>
        <v/>
      </c>
      <c r="N27" s="69" t="n"/>
      <c r="O27" s="69" t="n"/>
      <c r="P27" s="69" t="n"/>
      <c r="Q27" s="69" t="n"/>
      <c r="R27" s="69" t="n"/>
      <c r="S27" s="69" t="n"/>
      <c r="T27" s="69" t="n"/>
      <c r="V27" s="34" t="inlineStr">
        <is>
          <t xml:space="preserve"> </t>
        </is>
      </c>
      <c r="W27" s="34" t="inlineStr">
        <is>
          <t xml:space="preserve"> </t>
        </is>
      </c>
      <c r="X27" s="34" t="inlineStr">
        <is>
          <t xml:space="preserve"> </t>
        </is>
      </c>
      <c r="Y27" s="34" t="inlineStr">
        <is>
          <t xml:space="preserve"> </t>
        </is>
      </c>
    </row>
    <row r="28" ht="15" customFormat="1" customHeight="1" s="34">
      <c r="A28" s="10" t="inlineStr">
        <is>
          <t>B519</t>
        </is>
      </c>
      <c r="B28" s="3">
        <f>ConsolidatedMHrequirementJan26!B28</f>
        <v/>
      </c>
      <c r="C28" s="3" t="n"/>
      <c r="D28" s="3" t="n"/>
      <c r="E28" s="3" t="n"/>
      <c r="F28" s="41">
        <f>VLOOKUP(A28,ConsolidatedMHrequirementJan26!$A$4:$K$55,4,FALSE)</f>
        <v/>
      </c>
      <c r="G28" s="3">
        <f>ConsolidatedMHrequirementJan26!F28</f>
        <v/>
      </c>
      <c r="H28" s="3">
        <f>ConsolidatedMHrequirementJan26!E28</f>
        <v/>
      </c>
      <c r="I28" s="3">
        <f>ConsolidatedMHrequirementJan26!G28</f>
        <v/>
      </c>
      <c r="J28" s="41">
        <f>VLOOKUP(A28,ConsolidatedMHrequirementJan26!$A$4:$K$55,8,FALSE)</f>
        <v/>
      </c>
      <c r="K28" s="3" t="n">
        <v>0</v>
      </c>
      <c r="L28" s="3">
        <f>J28-K28</f>
        <v/>
      </c>
      <c r="M28" s="69">
        <f>ConsolidatedMHrequirementJan26!I28</f>
        <v/>
      </c>
      <c r="N28" s="69" t="n"/>
      <c r="O28" s="69" t="n"/>
      <c r="P28" s="69" t="n"/>
      <c r="Q28" s="69" t="n"/>
      <c r="R28" s="69" t="n"/>
      <c r="S28" s="69" t="n"/>
      <c r="T28" s="69" t="n"/>
      <c r="V28" s="34" t="inlineStr">
        <is>
          <t xml:space="preserve"> </t>
        </is>
      </c>
      <c r="W28" s="34" t="inlineStr">
        <is>
          <t xml:space="preserve"> </t>
        </is>
      </c>
    </row>
    <row r="29">
      <c r="A29" s="10" t="inlineStr">
        <is>
          <t>B548</t>
        </is>
      </c>
      <c r="B29" s="3">
        <f>ConsolidatedMHrequirementJan26!B29</f>
        <v/>
      </c>
      <c r="C29" s="3" t="n"/>
      <c r="D29" s="3" t="n"/>
      <c r="E29" s="3" t="n"/>
      <c r="F29" s="41">
        <f>VLOOKUP(A29,ConsolidatedMHrequirementJan26!$A$4:$K$55,4,FALSE)</f>
        <v/>
      </c>
      <c r="G29" s="3">
        <f>ConsolidatedMHrequirementJan26!F29</f>
        <v/>
      </c>
      <c r="H29" s="3">
        <f>ConsolidatedMHrequirementJan26!E29</f>
        <v/>
      </c>
      <c r="I29" s="3">
        <f>ConsolidatedMHrequirementJan26!G29</f>
        <v/>
      </c>
      <c r="J29" s="41">
        <f>VLOOKUP(A29,ConsolidatedMHrequirementJan26!$A$4:$K$55,8,FALSE)</f>
        <v/>
      </c>
      <c r="K29" s="3" t="n">
        <v>0</v>
      </c>
      <c r="L29" s="3">
        <f>J29-K29</f>
        <v/>
      </c>
      <c r="M29" s="69">
        <f>ConsolidatedMHrequirementJan26!I29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t="15" customFormat="1" customHeight="1" s="34">
      <c r="A30" s="10" t="inlineStr">
        <is>
          <t>B559</t>
        </is>
      </c>
      <c r="B30" s="3">
        <f>ConsolidatedMHrequirementJan26!B30</f>
        <v/>
      </c>
      <c r="C30" s="3" t="n"/>
      <c r="D30" s="3" t="n"/>
      <c r="E30" s="3" t="n"/>
      <c r="F30" s="41">
        <f>VLOOKUP(A30,ConsolidatedMHrequirementJan26!$A$4:$K$55,4,FALSE)</f>
        <v/>
      </c>
      <c r="G30" s="3">
        <f>ConsolidatedMHrequirementJan26!F30</f>
        <v/>
      </c>
      <c r="H30" s="3">
        <f>ConsolidatedMHrequirementJan26!E30</f>
        <v/>
      </c>
      <c r="I30" s="3">
        <f>ConsolidatedMHrequirementJan26!G30</f>
        <v/>
      </c>
      <c r="J30" s="41">
        <f>VLOOKUP(A30,ConsolidatedMHrequirementJan26!$A$4:$K$55,8,FALSE)</f>
        <v/>
      </c>
      <c r="K30" s="3" t="n">
        <v>0</v>
      </c>
      <c r="L30" s="3">
        <f>J30-K30</f>
        <v/>
      </c>
      <c r="M30" s="69">
        <f>ConsolidatedMHrequirementJan26!I30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t="15" customFormat="1" customHeight="1" s="34">
      <c r="A31" s="10" t="inlineStr">
        <is>
          <t>B560</t>
        </is>
      </c>
      <c r="B31" s="3">
        <f>ConsolidatedMHrequirementJan26!B31</f>
        <v/>
      </c>
      <c r="C31" s="3" t="n"/>
      <c r="D31" s="3" t="n"/>
      <c r="E31" s="3" t="n"/>
      <c r="F31" s="41">
        <f>VLOOKUP(A31,ConsolidatedMHrequirementJan26!$A$4:$K$55,4,FALSE)</f>
        <v/>
      </c>
      <c r="G31" s="3">
        <f>ConsolidatedMHrequirementJan26!F31</f>
        <v/>
      </c>
      <c r="H31" s="3">
        <f>ConsolidatedMHrequirementJan26!E31</f>
        <v/>
      </c>
      <c r="I31" s="3">
        <f>ConsolidatedMHrequirementJan26!G31</f>
        <v/>
      </c>
      <c r="J31" s="41">
        <f>VLOOKUP(A31,ConsolidatedMHrequirementJan26!$A$4:$K$55,8,FALSE)</f>
        <v/>
      </c>
      <c r="K31" s="3" t="n">
        <v>0</v>
      </c>
      <c r="L31" s="3">
        <f>J31-K31</f>
        <v/>
      </c>
      <c r="M31" s="69">
        <f>ConsolidatedMHrequirementJan26!I31</f>
        <v/>
      </c>
      <c r="N31" s="69" t="n"/>
      <c r="O31" s="69" t="n"/>
      <c r="P31" s="69" t="n"/>
      <c r="Q31" s="69" t="n"/>
      <c r="R31" s="69" t="n"/>
      <c r="S31" s="69" t="n"/>
      <c r="T31" s="69" t="n"/>
    </row>
    <row r="32" ht="15" customFormat="1" customHeight="1" s="34">
      <c r="A32" s="10" t="inlineStr">
        <is>
          <t>B571</t>
        </is>
      </c>
      <c r="B32" s="3">
        <f>ConsolidatedMHrequirementJan26!B32</f>
        <v/>
      </c>
      <c r="C32" s="3" t="n"/>
      <c r="D32" s="3" t="n"/>
      <c r="E32" s="3" t="n"/>
      <c r="F32" s="41">
        <f>VLOOKUP(A32,ConsolidatedMHrequirementJan26!$A$4:$K$55,4,FALSE)</f>
        <v/>
      </c>
      <c r="G32" s="3">
        <f>ConsolidatedMHrequirementJan26!F32</f>
        <v/>
      </c>
      <c r="H32" s="3">
        <f>ConsolidatedMHrequirementJan26!E32</f>
        <v/>
      </c>
      <c r="I32" s="3">
        <f>ConsolidatedMHrequirementJan26!G32</f>
        <v/>
      </c>
      <c r="J32" s="41">
        <f>VLOOKUP(A32,ConsolidatedMHrequirementJan26!$A$4:$K$55,8,FALSE)</f>
        <v/>
      </c>
      <c r="K32" s="3" t="n">
        <v>0</v>
      </c>
      <c r="L32" s="3">
        <f>J32-K32</f>
        <v/>
      </c>
      <c r="M32" s="69">
        <f>ConsolidatedMHrequirementJan26!I32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>
      <c r="A33" s="10" t="inlineStr">
        <is>
          <t>B589</t>
        </is>
      </c>
      <c r="B33" s="3">
        <f>ConsolidatedMHrequirementJan26!B33</f>
        <v/>
      </c>
      <c r="C33" s="3" t="n"/>
      <c r="D33" s="3" t="n"/>
      <c r="E33" s="3" t="n"/>
      <c r="F33" s="41">
        <f>VLOOKUP(A33,ConsolidatedMHrequirementJan26!$A$4:$K$55,4,FALSE)</f>
        <v/>
      </c>
      <c r="G33" s="3">
        <f>ConsolidatedMHrequirementJan26!F33</f>
        <v/>
      </c>
      <c r="H33" s="3">
        <f>ConsolidatedMHrequirementJan26!E33</f>
        <v/>
      </c>
      <c r="I33" s="3">
        <f>ConsolidatedMHrequirementJan26!G33</f>
        <v/>
      </c>
      <c r="J33" s="41">
        <f>VLOOKUP(A33,ConsolidatedMHrequirementJan26!$A$4:$K$55,8,FALSE)</f>
        <v/>
      </c>
      <c r="K33" s="3" t="n">
        <v>0</v>
      </c>
      <c r="L33" s="3">
        <f>J33-K33</f>
        <v/>
      </c>
      <c r="M33" s="69">
        <f>ConsolidatedMHrequirementJan26!I33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customFormat="1" s="34">
      <c r="A34" s="10" t="inlineStr">
        <is>
          <t>B650</t>
        </is>
      </c>
      <c r="B34" s="3">
        <f>ConsolidatedMHrequirementJan26!B34</f>
        <v/>
      </c>
      <c r="C34" s="3" t="n"/>
      <c r="D34" s="3" t="n"/>
      <c r="E34" s="3" t="n"/>
      <c r="F34" s="41">
        <f>VLOOKUP(A34,ConsolidatedMHrequirementJan26!$A$4:$K$55,4,FALSE)</f>
        <v/>
      </c>
      <c r="G34" s="3">
        <f>ConsolidatedMHrequirementJan26!F34</f>
        <v/>
      </c>
      <c r="H34" s="3">
        <f>ConsolidatedMHrequirementJan26!E34</f>
        <v/>
      </c>
      <c r="I34" s="3">
        <f>ConsolidatedMHrequirementJan26!G34</f>
        <v/>
      </c>
      <c r="J34" s="41">
        <f>VLOOKUP(A34,ConsolidatedMHrequirementJan26!$A$4:$K$55,8,FALSE)</f>
        <v/>
      </c>
      <c r="K34" s="3" t="n">
        <v>0</v>
      </c>
      <c r="L34" s="3">
        <f>J34-K34</f>
        <v/>
      </c>
      <c r="M34" s="69">
        <f>ConsolidatedMHrequirementJan26!I34</f>
        <v/>
      </c>
      <c r="N34" s="69" t="n"/>
      <c r="O34" s="69" t="n"/>
      <c r="P34" s="69" t="n"/>
      <c r="Q34" s="69" t="n"/>
      <c r="R34" s="69" t="n"/>
      <c r="S34" s="69" t="n"/>
      <c r="T34" s="69" t="n"/>
      <c r="X34" s="34" t="inlineStr">
        <is>
          <t xml:space="preserve"> </t>
        </is>
      </c>
    </row>
    <row r="35" ht="15" customFormat="1" customHeight="1" s="34">
      <c r="A35" s="10" t="inlineStr">
        <is>
          <t>B653</t>
        </is>
      </c>
      <c r="B35" s="3">
        <f>ConsolidatedMHrequirementJan26!B35</f>
        <v/>
      </c>
      <c r="C35" s="3" t="n"/>
      <c r="D35" s="3" t="n"/>
      <c r="E35" s="3" t="n"/>
      <c r="F35" s="41">
        <f>VLOOKUP(A35,ConsolidatedMHrequirementJan26!$A$4:$K$55,4,FALSE)</f>
        <v/>
      </c>
      <c r="G35" s="3">
        <f>ConsolidatedMHrequirementJan26!F35</f>
        <v/>
      </c>
      <c r="H35" s="3">
        <f>ConsolidatedMHrequirementJan26!E35</f>
        <v/>
      </c>
      <c r="I35" s="3">
        <f>ConsolidatedMHrequirementJan26!G35</f>
        <v/>
      </c>
      <c r="J35" s="41">
        <f>VLOOKUP(A35,ConsolidatedMHrequirementJan26!$A$4:$K$55,8,FALSE)</f>
        <v/>
      </c>
      <c r="K35" s="3" t="n">
        <v>0</v>
      </c>
      <c r="L35" s="3">
        <f>J35-K35</f>
        <v/>
      </c>
      <c r="M35" s="69">
        <f>ConsolidatedMHrequirementJan26!I35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t="14.5" customFormat="1" customHeight="1" s="34">
      <c r="A36" s="10" t="inlineStr">
        <is>
          <t>B725</t>
        </is>
      </c>
      <c r="B36" s="3">
        <f>ConsolidatedMHrequirementJan26!B36</f>
        <v/>
      </c>
      <c r="C36" s="3" t="n"/>
      <c r="D36" s="3" t="n"/>
      <c r="E36" s="3" t="n"/>
      <c r="F36" s="41">
        <f>VLOOKUP(A36,ConsolidatedMHrequirementJan26!$A$4:$K$55,4,FALSE)</f>
        <v/>
      </c>
      <c r="G36" s="3">
        <f>ConsolidatedMHrequirementJan26!F36</f>
        <v/>
      </c>
      <c r="H36" s="3">
        <f>ConsolidatedMHrequirementJan26!E36</f>
        <v/>
      </c>
      <c r="I36" s="3">
        <f>ConsolidatedMHrequirementJan26!G36</f>
        <v/>
      </c>
      <c r="J36" s="41">
        <f>VLOOKUP(A36,ConsolidatedMHrequirementJan26!$A$4:$K$55,8,FALSE)</f>
        <v/>
      </c>
      <c r="K36" s="3" t="n">
        <v>0</v>
      </c>
      <c r="L36" s="3">
        <f>J36-K36</f>
        <v/>
      </c>
      <c r="M36" s="69">
        <f>ConsolidatedMHrequirementJan26!I36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t="14.5" customFormat="1" customHeight="1" s="34">
      <c r="A37" s="10" t="inlineStr">
        <is>
          <t>B767</t>
        </is>
      </c>
      <c r="B37" s="3">
        <f>ConsolidatedMHrequirementJan26!B37</f>
        <v/>
      </c>
      <c r="C37" s="3" t="n"/>
      <c r="D37" s="3" t="n"/>
      <c r="E37" s="3" t="n"/>
      <c r="F37" s="41">
        <f>VLOOKUP(A37,ConsolidatedMHrequirementJan26!$A$4:$K$55,4,FALSE)</f>
        <v/>
      </c>
      <c r="G37" s="3">
        <f>ConsolidatedMHrequirementJan26!F37</f>
        <v/>
      </c>
      <c r="H37" s="3">
        <f>ConsolidatedMHrequirementJan26!E37</f>
        <v/>
      </c>
      <c r="I37" s="3">
        <f>ConsolidatedMHrequirementJan26!G37</f>
        <v/>
      </c>
      <c r="J37" s="41">
        <f>VLOOKUP(A37,ConsolidatedMHrequirementJan26!$A$4:$K$55,8,FALSE)</f>
        <v/>
      </c>
      <c r="K37" s="3" t="n">
        <v>0</v>
      </c>
      <c r="L37" s="3">
        <f>J37-K37</f>
        <v/>
      </c>
      <c r="M37" s="69">
        <f>ConsolidatedMHrequirementJan26!I37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t="14.5" customFormat="1" customHeight="1" s="34">
      <c r="A38" s="10" t="inlineStr">
        <is>
          <t>B795</t>
        </is>
      </c>
      <c r="B38" s="3">
        <f>ConsolidatedMHrequirementJan26!B38</f>
        <v/>
      </c>
      <c r="C38" s="3" t="n"/>
      <c r="D38" s="3" t="n"/>
      <c r="E38" s="3" t="n"/>
      <c r="F38" s="41">
        <f>VLOOKUP(A38,ConsolidatedMHrequirementJan26!$A$4:$K$55,4,FALSE)</f>
        <v/>
      </c>
      <c r="G38" s="3">
        <f>ConsolidatedMHrequirementJan26!F38</f>
        <v/>
      </c>
      <c r="H38" s="3">
        <f>ConsolidatedMHrequirementJan26!E38</f>
        <v/>
      </c>
      <c r="I38" s="3">
        <f>ConsolidatedMHrequirementJan26!G38</f>
        <v/>
      </c>
      <c r="J38" s="41">
        <f>VLOOKUP(A38,ConsolidatedMHrequirementJan26!$A$4:$K$55,8,FALSE)</f>
        <v/>
      </c>
      <c r="K38" s="3" t="n">
        <v>42</v>
      </c>
      <c r="L38" s="3">
        <f>J38-K38</f>
        <v/>
      </c>
      <c r="M38" s="69">
        <f>ConsolidatedMHrequirementJan26!I38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t="14.5" customFormat="1" customHeight="1" s="34">
      <c r="A39" s="10" t="inlineStr">
        <is>
          <t>B813</t>
        </is>
      </c>
      <c r="B39" s="3">
        <f>ConsolidatedMHrequirementJan26!B39</f>
        <v/>
      </c>
      <c r="C39" s="3" t="n"/>
      <c r="D39" s="3" t="n"/>
      <c r="E39" s="3" t="n"/>
      <c r="F39" s="41">
        <f>VLOOKUP(A39,ConsolidatedMHrequirementJan26!$A$4:$K$55,4,FALSE)</f>
        <v/>
      </c>
      <c r="G39" s="3">
        <f>ConsolidatedMHrequirementJan26!F39</f>
        <v/>
      </c>
      <c r="H39" s="3">
        <f>ConsolidatedMHrequirementJan26!E39</f>
        <v/>
      </c>
      <c r="I39" s="3">
        <f>ConsolidatedMHrequirementJan26!G39</f>
        <v/>
      </c>
      <c r="J39" s="41">
        <f>VLOOKUP(A39,ConsolidatedMHrequirementJan26!$A$4:$K$55,8,FALSE)</f>
        <v/>
      </c>
      <c r="K39" s="3" t="n">
        <v>0</v>
      </c>
      <c r="L39" s="3">
        <f>J39-K39</f>
        <v/>
      </c>
      <c r="M39" s="69">
        <f>ConsolidatedMHrequirementJan26!I39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t="14.5" customFormat="1" customHeight="1" s="34">
      <c r="A40" s="10" t="inlineStr">
        <is>
          <t>B860</t>
        </is>
      </c>
      <c r="B40" s="3">
        <f>ConsolidatedMHrequirementJan26!B40</f>
        <v/>
      </c>
      <c r="C40" s="3" t="n"/>
      <c r="D40" s="3" t="n"/>
      <c r="E40" s="3" t="n"/>
      <c r="F40" s="41">
        <f>VLOOKUP(A40,ConsolidatedMHrequirementJan26!$A$4:$K$55,4,FALSE)</f>
        <v/>
      </c>
      <c r="G40" s="3">
        <f>ConsolidatedMHrequirementJan26!F40</f>
        <v/>
      </c>
      <c r="H40" s="3">
        <f>ConsolidatedMHrequirementJan26!E40</f>
        <v/>
      </c>
      <c r="I40" s="3">
        <f>ConsolidatedMHrequirementJan26!G40</f>
        <v/>
      </c>
      <c r="J40" s="41">
        <f>VLOOKUP(A40,ConsolidatedMHrequirementJan26!$A$4:$K$55,8,FALSE)</f>
        <v/>
      </c>
      <c r="K40" s="3" t="n">
        <v>0</v>
      </c>
      <c r="L40" s="3">
        <f>J40-K40</f>
        <v/>
      </c>
      <c r="M40" s="69">
        <f>ConsolidatedMHrequirementJan26!I40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t="14.5" customFormat="1" customHeight="1" s="34">
      <c r="A41" s="10" t="inlineStr">
        <is>
          <t>B861</t>
        </is>
      </c>
      <c r="B41" s="3">
        <f>ConsolidatedMHrequirementJan26!B41</f>
        <v/>
      </c>
      <c r="C41" s="3" t="n"/>
      <c r="D41" s="3" t="n"/>
      <c r="E41" s="3" t="n"/>
      <c r="F41" s="41">
        <f>VLOOKUP(A41,ConsolidatedMHrequirementJan26!$A$4:$K$55,4,FALSE)</f>
        <v/>
      </c>
      <c r="G41" s="3">
        <f>ConsolidatedMHrequirementJan26!F41</f>
        <v/>
      </c>
      <c r="H41" s="3">
        <f>ConsolidatedMHrequirementJan26!E41</f>
        <v/>
      </c>
      <c r="I41" s="3">
        <f>ConsolidatedMHrequirementJan26!G41</f>
        <v/>
      </c>
      <c r="J41" s="41">
        <f>VLOOKUP(A41,ConsolidatedMHrequirementJan26!$A$4:$K$55,8,FALSE)</f>
        <v/>
      </c>
      <c r="K41" s="3" t="n">
        <v>0</v>
      </c>
      <c r="L41" s="3">
        <f>J41-K41</f>
        <v/>
      </c>
      <c r="M41" s="69">
        <f>ConsolidatedMHrequirementJan26!I41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t="22" customFormat="1" customHeight="1" s="34">
      <c r="A42" s="10" t="inlineStr">
        <is>
          <t>B862</t>
        </is>
      </c>
      <c r="B42" s="3">
        <f>ConsolidatedMHrequirementJan26!B42</f>
        <v/>
      </c>
      <c r="C42" s="3" t="n"/>
      <c r="D42" s="3" t="n"/>
      <c r="E42" s="3" t="n"/>
      <c r="F42" s="41">
        <f>VLOOKUP(A42,ConsolidatedMHrequirementJan26!$A$4:$K$55,4,FALSE)</f>
        <v/>
      </c>
      <c r="G42" s="3">
        <f>ConsolidatedMHrequirementJan26!F42</f>
        <v/>
      </c>
      <c r="H42" s="3">
        <f>ConsolidatedMHrequirementJan26!E42</f>
        <v/>
      </c>
      <c r="I42" s="3">
        <f>ConsolidatedMHrequirementJan26!G42</f>
        <v/>
      </c>
      <c r="J42" s="41">
        <f>VLOOKUP(A42,ConsolidatedMHrequirementJan26!$A$4:$K$55,8,FALSE)</f>
        <v/>
      </c>
      <c r="K42" s="3" t="n">
        <v>0</v>
      </c>
      <c r="L42" s="3">
        <f>J42-K42</f>
        <v/>
      </c>
      <c r="M42" s="69">
        <f>ConsolidatedMHrequirementJan26!I42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t="19" customFormat="1" customHeight="1" s="34">
      <c r="A43" s="10" t="inlineStr">
        <is>
          <t>B865</t>
        </is>
      </c>
      <c r="B43" s="3">
        <f>ConsolidatedMHrequirementJan26!B43</f>
        <v/>
      </c>
      <c r="C43" s="3" t="n"/>
      <c r="D43" s="3" t="n"/>
      <c r="E43" s="3" t="n"/>
      <c r="F43" s="41">
        <f>VLOOKUP(A43,ConsolidatedMHrequirementJan26!$A$4:$K$55,4,FALSE)</f>
        <v/>
      </c>
      <c r="G43" s="3">
        <f>ConsolidatedMHrequirementJan26!F43</f>
        <v/>
      </c>
      <c r="H43" s="3">
        <f>ConsolidatedMHrequirementJan26!E43</f>
        <v/>
      </c>
      <c r="I43" s="3">
        <f>ConsolidatedMHrequirementJan26!G43</f>
        <v/>
      </c>
      <c r="J43" s="41">
        <f>VLOOKUP(A43,ConsolidatedMHrequirementJan26!$A$4:$K$55,8,FALSE)</f>
        <v/>
      </c>
      <c r="K43" s="3" t="n">
        <v>0</v>
      </c>
      <c r="L43" s="3">
        <f>J43-K43</f>
        <v/>
      </c>
      <c r="M43" s="69">
        <f>ConsolidatedMHrequirementJan26!I43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t="19" customFormat="1" customHeight="1" s="34">
      <c r="A44" s="10" t="inlineStr">
        <is>
          <t>B889</t>
        </is>
      </c>
      <c r="B44" s="3">
        <f>ConsolidatedMHrequirementJan26!B44</f>
        <v/>
      </c>
      <c r="C44" s="3" t="n"/>
      <c r="D44" s="3" t="n"/>
      <c r="E44" s="3" t="n"/>
      <c r="F44" s="41">
        <f>VLOOKUP(A44,ConsolidatedMHrequirementJan26!$A$4:$K$55,4,FALSE)</f>
        <v/>
      </c>
      <c r="G44" s="3">
        <f>ConsolidatedMHrequirementJan26!F44</f>
        <v/>
      </c>
      <c r="H44" s="3">
        <f>ConsolidatedMHrequirementJan26!E44</f>
        <v/>
      </c>
      <c r="I44" s="3">
        <f>ConsolidatedMHrequirementJan26!G44</f>
        <v/>
      </c>
      <c r="J44" s="41">
        <f>VLOOKUP(A44,ConsolidatedMHrequirementJan26!$A$4:$K$55,8,FALSE)</f>
        <v/>
      </c>
      <c r="K44" s="3" t="n">
        <v>0</v>
      </c>
      <c r="L44" s="3">
        <f>J44-K44</f>
        <v/>
      </c>
      <c r="M44" s="69">
        <f>ConsolidatedMHrequirementJan26!I44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t="19" customFormat="1" customHeight="1" s="34">
      <c r="A45" s="10" t="inlineStr">
        <is>
          <t>B895</t>
        </is>
      </c>
      <c r="B45" s="3">
        <f>ConsolidatedMHrequirementJan26!B45</f>
        <v/>
      </c>
      <c r="C45" s="3" t="n"/>
      <c r="D45" s="3" t="n"/>
      <c r="E45" s="3" t="n"/>
      <c r="F45" s="41">
        <f>VLOOKUP(A45,ConsolidatedMHrequirementJan26!$A$4:$K$55,4,FALSE)</f>
        <v/>
      </c>
      <c r="G45" s="3">
        <f>ConsolidatedMHrequirementJan26!F45</f>
        <v/>
      </c>
      <c r="H45" s="3">
        <f>ConsolidatedMHrequirementJan26!E45</f>
        <v/>
      </c>
      <c r="I45" s="3">
        <f>ConsolidatedMHrequirementJan26!G45</f>
        <v/>
      </c>
      <c r="J45" s="41">
        <f>VLOOKUP(A45,ConsolidatedMHrequirementJan26!$A$4:$K$55,8,FALSE)</f>
        <v/>
      </c>
      <c r="K45" s="3" t="n">
        <v>0</v>
      </c>
      <c r="L45" s="3">
        <f>J45-K45</f>
        <v/>
      </c>
      <c r="M45" s="69">
        <f>ConsolidatedMHrequirementJan26!I45</f>
        <v/>
      </c>
      <c r="N45" s="69" t="n"/>
      <c r="O45" s="69" t="n"/>
      <c r="P45" s="69" t="n"/>
      <c r="Q45" s="69" t="n"/>
      <c r="R45" s="69" t="n"/>
      <c r="S45" s="69" t="n"/>
      <c r="T45" s="69" t="n"/>
    </row>
    <row r="46" ht="20" customFormat="1" customHeight="1" s="34">
      <c r="A46" s="10" t="inlineStr">
        <is>
          <t>B903</t>
        </is>
      </c>
      <c r="B46" s="3">
        <f>ConsolidatedMHrequirementJan26!B46</f>
        <v/>
      </c>
      <c r="C46" s="3" t="n"/>
      <c r="D46" s="3" t="n"/>
      <c r="E46" s="3" t="n"/>
      <c r="F46" s="41">
        <f>VLOOKUP(A46,ConsolidatedMHrequirementJan26!$A$4:$K$55,4,FALSE)</f>
        <v/>
      </c>
      <c r="G46" s="3">
        <f>ConsolidatedMHrequirementJan26!F46</f>
        <v/>
      </c>
      <c r="H46" s="3">
        <f>ConsolidatedMHrequirementJan26!E46</f>
        <v/>
      </c>
      <c r="I46" s="3">
        <f>ConsolidatedMHrequirementJan26!G46</f>
        <v/>
      </c>
      <c r="J46" s="41">
        <f>VLOOKUP(A46,ConsolidatedMHrequirementJan26!$A$4:$K$55,8,FALSE)</f>
        <v/>
      </c>
      <c r="K46" s="3" t="n">
        <v>0</v>
      </c>
      <c r="L46" s="3">
        <f>J46-K46</f>
        <v/>
      </c>
      <c r="M46" s="69">
        <f>ConsolidatedMHrequirementJan26!I46</f>
        <v/>
      </c>
      <c r="N46" s="69" t="n"/>
      <c r="O46" s="69" t="n"/>
      <c r="P46" s="69" t="n"/>
      <c r="Q46" s="69" t="n"/>
      <c r="R46" s="69" t="n"/>
      <c r="S46" s="69" t="n"/>
      <c r="T46" s="69" t="n"/>
    </row>
    <row r="47" customFormat="1" s="34">
      <c r="A47" s="10" t="inlineStr">
        <is>
          <t>B904</t>
        </is>
      </c>
      <c r="B47" s="3">
        <f>ConsolidatedMHrequirementJan26!B47</f>
        <v/>
      </c>
      <c r="C47" s="3" t="n"/>
      <c r="D47" s="3" t="n"/>
      <c r="E47" s="3" t="n"/>
      <c r="F47" s="41">
        <f>VLOOKUP(A47,ConsolidatedMHrequirementJan26!$A$4:$K$55,4,FALSE)</f>
        <v/>
      </c>
      <c r="G47" s="3">
        <f>ConsolidatedMHrequirementJan26!F47</f>
        <v/>
      </c>
      <c r="H47" s="3">
        <f>ConsolidatedMHrequirementJan26!E47</f>
        <v/>
      </c>
      <c r="I47" s="3">
        <f>ConsolidatedMHrequirementJan26!G47</f>
        <v/>
      </c>
      <c r="J47" s="41">
        <f>VLOOKUP(A47,ConsolidatedMHrequirementJan26!$A$4:$K$55,8,FALSE)</f>
        <v/>
      </c>
      <c r="K47" s="3" t="n">
        <v>0</v>
      </c>
      <c r="L47" s="3">
        <f>J47-K47</f>
        <v/>
      </c>
      <c r="M47" s="69">
        <f>ConsolidatedMHrequirementJan26!I47</f>
        <v/>
      </c>
      <c r="N47" s="69" t="n"/>
      <c r="O47" s="69" t="n"/>
      <c r="P47" s="69" t="n"/>
      <c r="Q47" s="69" t="n"/>
      <c r="R47" s="69" t="n"/>
      <c r="S47" s="69" t="n"/>
      <c r="T47" s="69" t="n"/>
    </row>
    <row r="48" customFormat="1" s="34">
      <c r="A48" s="10" t="inlineStr">
        <is>
          <t>B933</t>
        </is>
      </c>
      <c r="B48" s="3">
        <f>ConsolidatedMHrequirementJan26!B48</f>
        <v/>
      </c>
      <c r="C48" s="3" t="n"/>
      <c r="D48" s="3" t="n"/>
      <c r="E48" s="3" t="n"/>
      <c r="F48" s="41">
        <f>VLOOKUP(A48,ConsolidatedMHrequirementJan26!$A$4:$K$55,4,FALSE)</f>
        <v/>
      </c>
      <c r="G48" s="3">
        <f>ConsolidatedMHrequirementJan26!F48</f>
        <v/>
      </c>
      <c r="H48" s="3">
        <f>ConsolidatedMHrequirementJan26!E48</f>
        <v/>
      </c>
      <c r="I48" s="3">
        <f>ConsolidatedMHrequirementJan26!G48</f>
        <v/>
      </c>
      <c r="J48" s="41">
        <f>VLOOKUP(A48,ConsolidatedMHrequirementJan26!$A$4:$K$55,8,FALSE)</f>
        <v/>
      </c>
      <c r="K48" s="3" t="n">
        <v>0</v>
      </c>
      <c r="L48" s="3">
        <f>J48-K48</f>
        <v/>
      </c>
      <c r="M48" s="69">
        <f>ConsolidatedMHrequirementJan26!I48</f>
        <v/>
      </c>
      <c r="N48" s="69" t="n"/>
      <c r="O48" s="69" t="n"/>
      <c r="P48" s="69" t="n"/>
      <c r="Q48" s="69" t="n"/>
      <c r="R48" s="69" t="n"/>
      <c r="S48" s="69" t="n"/>
      <c r="T48" s="69" t="n"/>
    </row>
    <row r="49" customFormat="1" s="34">
      <c r="A49" s="10" t="inlineStr">
        <is>
          <t>B943</t>
        </is>
      </c>
      <c r="B49" s="3">
        <f>ConsolidatedMHrequirementJan26!B49</f>
        <v/>
      </c>
      <c r="C49" s="3" t="n"/>
      <c r="D49" s="3" t="n"/>
      <c r="E49" s="3" t="n"/>
      <c r="F49" s="41">
        <f>VLOOKUP(A49,ConsolidatedMHrequirementJan26!$A$4:$K$55,4,FALSE)</f>
        <v/>
      </c>
      <c r="G49" s="3">
        <f>ConsolidatedMHrequirementJan26!F49</f>
        <v/>
      </c>
      <c r="H49" s="3">
        <f>ConsolidatedMHrequirementJan26!E49</f>
        <v/>
      </c>
      <c r="I49" s="3">
        <f>ConsolidatedMHrequirementJan26!G49</f>
        <v/>
      </c>
      <c r="J49" s="41">
        <f>VLOOKUP(A49,ConsolidatedMHrequirementJan26!$A$4:$K$55,8,FALSE)</f>
        <v/>
      </c>
      <c r="K49" s="3" t="n">
        <v>0</v>
      </c>
      <c r="L49" s="3">
        <f>J49-K49</f>
        <v/>
      </c>
      <c r="M49" s="69">
        <f>ConsolidatedMHrequirementJan26!I49</f>
        <v/>
      </c>
      <c r="N49" s="69" t="n"/>
      <c r="O49" s="69" t="n"/>
      <c r="P49" s="69" t="n"/>
      <c r="Q49" s="69" t="n"/>
      <c r="R49" s="69" t="n"/>
      <c r="S49" s="69" t="n"/>
      <c r="T49" s="69" t="n"/>
    </row>
    <row r="50" customFormat="1" s="34">
      <c r="A50" s="10" t="inlineStr">
        <is>
          <t>B957</t>
        </is>
      </c>
      <c r="B50" s="3">
        <f>ConsolidatedMHrequirementJan26!B50</f>
        <v/>
      </c>
      <c r="C50" s="3" t="n"/>
      <c r="D50" s="3" t="n"/>
      <c r="E50" s="3" t="n"/>
      <c r="F50" s="41">
        <f>VLOOKUP(A50,ConsolidatedMHrequirementJan26!$A$4:$K$55,4,FALSE)</f>
        <v/>
      </c>
      <c r="G50" s="3">
        <f>ConsolidatedMHrequirementJan26!F50</f>
        <v/>
      </c>
      <c r="H50" s="3">
        <f>ConsolidatedMHrequirementJan26!E50</f>
        <v/>
      </c>
      <c r="I50" s="3">
        <f>ConsolidatedMHrequirementJan26!G50</f>
        <v/>
      </c>
      <c r="J50" s="41">
        <f>VLOOKUP(A50,ConsolidatedMHrequirementJan26!$A$4:$K$55,8,FALSE)</f>
        <v/>
      </c>
      <c r="K50" s="3" t="n">
        <v>0</v>
      </c>
      <c r="L50" s="3">
        <f>J50-K50</f>
        <v/>
      </c>
      <c r="M50" s="69">
        <f>ConsolidatedMHrequirementJan26!I50</f>
        <v/>
      </c>
      <c r="N50" s="69" t="n"/>
      <c r="O50" s="69" t="n"/>
      <c r="P50" s="69" t="n"/>
      <c r="Q50" s="69" t="n"/>
      <c r="R50" s="69" t="n"/>
      <c r="S50" s="69" t="n"/>
      <c r="T50" s="69" t="n"/>
    </row>
    <row r="51" customFormat="1" s="34">
      <c r="A51" s="10" t="inlineStr">
        <is>
          <t>B964</t>
        </is>
      </c>
      <c r="B51" s="3">
        <f>ConsolidatedMHrequirementJan26!B51</f>
        <v/>
      </c>
      <c r="C51" s="3" t="n"/>
      <c r="D51" s="3" t="n"/>
      <c r="E51" s="3" t="n"/>
      <c r="F51" s="41">
        <f>VLOOKUP(A51,ConsolidatedMHrequirementJan26!$A$4:$K$55,4,FALSE)</f>
        <v/>
      </c>
      <c r="G51" s="3">
        <f>ConsolidatedMHrequirementJan26!F51</f>
        <v/>
      </c>
      <c r="H51" s="3">
        <f>ConsolidatedMHrequirementJan26!E51</f>
        <v/>
      </c>
      <c r="I51" s="3">
        <f>ConsolidatedMHrequirementJan26!G51</f>
        <v/>
      </c>
      <c r="J51" s="41">
        <f>VLOOKUP(A51,ConsolidatedMHrequirementJan26!$A$4:$K$55,8,FALSE)</f>
        <v/>
      </c>
      <c r="K51" s="3" t="n">
        <v>88</v>
      </c>
      <c r="L51" s="3">
        <f>J51-K51</f>
        <v/>
      </c>
      <c r="M51" s="69">
        <f>ConsolidatedMHrequirementJan26!I51</f>
        <v/>
      </c>
      <c r="N51" s="69" t="n"/>
      <c r="O51" s="69" t="n"/>
      <c r="P51" s="69" t="n"/>
      <c r="Q51" s="69" t="n"/>
      <c r="R51" s="69" t="n"/>
      <c r="S51" s="69" t="n"/>
      <c r="T51" s="69" t="n"/>
    </row>
    <row r="52" customFormat="1" s="34">
      <c r="A52" s="10" t="inlineStr">
        <is>
          <t>C007</t>
        </is>
      </c>
      <c r="B52" s="3">
        <f>ConsolidatedMHrequirementJan26!B52</f>
        <v/>
      </c>
      <c r="C52" s="3" t="n"/>
      <c r="D52" s="3" t="n"/>
      <c r="E52" s="3" t="n"/>
      <c r="F52" s="41">
        <f>VLOOKUP(A52,ConsolidatedMHrequirementJan26!$A$4:$K$55,4,FALSE)</f>
        <v/>
      </c>
      <c r="G52" s="3">
        <f>ConsolidatedMHrequirementJan26!F52</f>
        <v/>
      </c>
      <c r="H52" s="3">
        <f>ConsolidatedMHrequirementJan26!E52</f>
        <v/>
      </c>
      <c r="I52" s="3">
        <f>ConsolidatedMHrequirementJan26!G52</f>
        <v/>
      </c>
      <c r="J52" s="41">
        <f>VLOOKUP(A52,ConsolidatedMHrequirementJan26!$A$4:$K$55,8,FALSE)</f>
        <v/>
      </c>
      <c r="K52" s="3" t="n">
        <v>0</v>
      </c>
      <c r="L52" s="3">
        <f>J52-K52</f>
        <v/>
      </c>
      <c r="M52" s="69">
        <f>ConsolidatedMHrequirementJan26!I52</f>
        <v/>
      </c>
      <c r="N52" s="69" t="n"/>
      <c r="O52" s="69" t="n"/>
      <c r="P52" s="69" t="n"/>
      <c r="Q52" s="69" t="n"/>
      <c r="R52" s="69" t="n"/>
      <c r="S52" s="69" t="n"/>
      <c r="T52" s="69" t="n"/>
    </row>
    <row r="53" customFormat="1" s="34">
      <c r="A53" s="10" t="inlineStr">
        <is>
          <t>C028</t>
        </is>
      </c>
      <c r="B53" s="3">
        <f>ConsolidatedMHrequirementJan26!B53</f>
        <v/>
      </c>
      <c r="C53" s="3" t="n"/>
      <c r="D53" s="3" t="n"/>
      <c r="E53" s="3" t="n"/>
      <c r="F53" s="41">
        <f>VLOOKUP(A53,ConsolidatedMHrequirementJan26!$A$4:$K$55,4,FALSE)</f>
        <v/>
      </c>
      <c r="G53" s="3">
        <f>ConsolidatedMHrequirementJan26!F53</f>
        <v/>
      </c>
      <c r="H53" s="3">
        <f>ConsolidatedMHrequirementJan26!E53</f>
        <v/>
      </c>
      <c r="I53" s="3">
        <f>ConsolidatedMHrequirementJan26!G53</f>
        <v/>
      </c>
      <c r="J53" s="41">
        <f>VLOOKUP(A53,ConsolidatedMHrequirementJan26!$A$4:$K$55,8,FALSE)</f>
        <v/>
      </c>
      <c r="K53" s="3" t="n">
        <v>4</v>
      </c>
      <c r="L53" s="3">
        <f>J53-K53</f>
        <v/>
      </c>
      <c r="M53" s="69">
        <f>ConsolidatedMHrequirementJan26!I53</f>
        <v/>
      </c>
      <c r="N53" s="69" t="n"/>
      <c r="O53" s="69" t="n"/>
      <c r="P53" s="69" t="n"/>
      <c r="Q53" s="69" t="n"/>
      <c r="R53" s="69" t="n"/>
      <c r="S53" s="69" t="n"/>
      <c r="T53" s="69" t="n"/>
    </row>
    <row r="54" customFormat="1" s="34">
      <c r="A54" s="10" t="inlineStr">
        <is>
          <t>C068</t>
        </is>
      </c>
      <c r="B54" s="3">
        <f>ConsolidatedMHrequirementJan26!B54</f>
        <v/>
      </c>
      <c r="C54" s="4" t="n"/>
      <c r="D54" s="4" t="n"/>
      <c r="E54" s="4" t="n"/>
      <c r="F54" s="41">
        <f>VLOOKUP(A54,ConsolidatedMHrequirementJan26!$A$4:$K$55,4,FALSE)</f>
        <v/>
      </c>
      <c r="G54" s="3">
        <f>ConsolidatedMHrequirementJan26!F54</f>
        <v/>
      </c>
      <c r="H54" s="3">
        <f>ConsolidatedMHrequirementJan26!E54</f>
        <v/>
      </c>
      <c r="I54" s="3">
        <f>ConsolidatedMHrequirementJan26!G54</f>
        <v/>
      </c>
      <c r="J54" s="41">
        <f>VLOOKUP(A54,ConsolidatedMHrequirementJan26!$A$4:$K$55,8,FALSE)</f>
        <v/>
      </c>
      <c r="K54" s="3" t="n">
        <v>0</v>
      </c>
      <c r="L54" s="3">
        <f>J54-K54</f>
        <v/>
      </c>
      <c r="M54" s="69">
        <f>ConsolidatedMHrequirementJan26!I54</f>
        <v/>
      </c>
      <c r="N54" s="69" t="n"/>
      <c r="O54" s="69" t="n"/>
      <c r="P54" s="69" t="n"/>
      <c r="Q54" s="69" t="n"/>
      <c r="R54" s="69" t="n"/>
      <c r="S54" s="69" t="n"/>
      <c r="T54" s="69" t="n"/>
    </row>
    <row r="55">
      <c r="A55" s="3" t="inlineStr">
        <is>
          <t>Leave</t>
        </is>
      </c>
      <c r="B55" s="3">
        <f>ConsolidatedMHrequirementJan26!B55</f>
        <v/>
      </c>
      <c r="F55" s="41">
        <f>VLOOKUP(A55,ConsolidatedMHrequirementJan26!$A$4:$K$55,4,FALSE)</f>
        <v/>
      </c>
      <c r="G55" s="3">
        <f>ConsolidatedMHrequirementJan26!F55</f>
        <v/>
      </c>
      <c r="H55" s="3">
        <f>ConsolidatedMHrequirementJan26!E55</f>
        <v/>
      </c>
      <c r="I55" s="3">
        <f>ConsolidatedMHrequirementJan26!G55</f>
        <v/>
      </c>
      <c r="J55" s="41">
        <f>VLOOKUP(A55,ConsolidatedMHrequirementJan26!$A$4:$K$55,8,FALSE)</f>
        <v/>
      </c>
      <c r="K55" s="3" t="n">
        <v>32</v>
      </c>
      <c r="L55" s="3">
        <f>J55-K55</f>
        <v/>
      </c>
      <c r="M55" s="69">
        <f>ConsolidatedMHrequirementJan26!I55</f>
        <v/>
      </c>
      <c r="N55" s="69" t="n"/>
      <c r="O55" s="69" t="n"/>
      <c r="P55" s="69" t="n"/>
      <c r="Q55" s="69" t="n"/>
      <c r="R55" s="69" t="n"/>
      <c r="S55" s="69" t="n"/>
      <c r="T55" s="69" t="n"/>
    </row>
    <row r="56">
      <c r="A56" s="3" t="inlineStr">
        <is>
          <t>Total</t>
        </is>
      </c>
      <c r="B56" s="3">
        <f>ConsolidatedMHrequirementJan26!B56</f>
        <v/>
      </c>
      <c r="C56" s="3" t="n"/>
      <c r="D56" s="3" t="n"/>
      <c r="E56" s="3" t="n"/>
      <c r="F56" s="41">
        <f>SUM(F4:F55)</f>
        <v/>
      </c>
      <c r="G56" s="41">
        <f>SUM(G4:G55)</f>
        <v/>
      </c>
      <c r="H56" s="41">
        <f>SUM(H4:H55)</f>
        <v/>
      </c>
      <c r="I56" s="41">
        <f>SUM(I4:I55)</f>
        <v/>
      </c>
      <c r="J56" s="41">
        <f>SUM(J4:J55)</f>
        <v/>
      </c>
      <c r="K56" s="41">
        <f>SUM(K4:K55)</f>
        <v/>
      </c>
      <c r="L56" s="41">
        <f>SUM(L4:L55)</f>
        <v/>
      </c>
      <c r="M56" s="69" t="n"/>
    </row>
    <row r="57">
      <c r="A57" s="55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55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24" t="inlineStr">
        <is>
          <t xml:space="preserve">Guidelines : </t>
        </is>
      </c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</row>
    <row r="60">
      <c r="A60" s="26" t="inlineStr">
        <is>
          <t>1. Inspection Visit including review and endorsement of final documents: At  actual</t>
        </is>
      </c>
      <c r="B60" s="26" t="n"/>
    </row>
    <row r="61">
      <c r="A61" s="26" t="inlineStr">
        <is>
          <t xml:space="preserve">2. Expediting and preparation of expediting report: Average 2 hours /month /order ( No man hours for coordination ) </t>
        </is>
      </c>
    </row>
    <row r="62">
      <c r="A62" s="26" t="inlineStr">
        <is>
          <t xml:space="preserve">3. Expediting visit/ Attending meeting with project/.Client: At  actual </t>
        </is>
      </c>
    </row>
    <row r="63">
      <c r="A63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4">
      <c r="A64" s="26" t="inlineStr">
        <is>
          <t xml:space="preserve">5. Review of ITP for Equipment (Mechanical and Electrical/DCS etc): Average 2 hours/order </t>
        </is>
      </c>
    </row>
    <row r="65">
      <c r="A65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6">
      <c r="A66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7">
      <c r="A67" s="26" t="inlineStr">
        <is>
          <t xml:space="preserve">8. Order Closing report: Average 2 hours/Order  </t>
        </is>
      </c>
    </row>
  </sheetData>
  <pageMargins left="0.7" right="0.7" top="0.75" bottom="0.75" header="0.3" footer="0.3"/>
  <pageSetup orientation="landscape" scale="71"/>
</worksheet>
</file>

<file path=xl/worksheets/sheet24.xml><?xml version="1.0" encoding="utf-8"?>
<worksheet xmlns="http://schemas.openxmlformats.org/spreadsheetml/2006/main">
  <sheetPr>
    <tabColor rgb="FFFF0000"/>
    <outlinePr summaryBelow="1" summaryRight="1"/>
    <pageSetUpPr/>
  </sheetPr>
  <dimension ref="A1:S70"/>
  <sheetViews>
    <sheetView tabSelected="1" topLeftCell="A17" zoomScale="85" zoomScaleNormal="85" workbookViewId="0">
      <selection activeCell="I17" sqref="I17"/>
    </sheetView>
  </sheetViews>
  <sheetFormatPr baseColWidth="8" defaultRowHeight="14.5"/>
  <cols>
    <col width="12.453125" customWidth="1" style="4" min="1" max="1"/>
    <col width="10.54296875" customWidth="1" style="125" min="2" max="4"/>
    <col width="17.08984375" customWidth="1" style="125" min="11" max="11"/>
    <col width="15" customWidth="1" style="125" min="15" max="17"/>
  </cols>
  <sheetData>
    <row r="1">
      <c r="A1" s="118" t="inlineStr">
        <is>
          <t>Consolidated man hour requirement  for Feb'26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2" t="n"/>
      <c r="L1" s="94" t="n"/>
    </row>
    <row r="2">
      <c r="A2" s="52">
        <f>(20*8*5)</f>
        <v/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2" t="n"/>
      <c r="L2" s="1" t="n"/>
      <c r="M2" s="111" t="n"/>
      <c r="N2" s="111" t="n"/>
      <c r="O2" s="112" t="n"/>
    </row>
    <row r="3" ht="41.25" customHeight="1" s="125">
      <c r="A3" s="3" t="inlineStr">
        <is>
          <t>Job No</t>
        </is>
      </c>
      <c r="B3" s="3" t="inlineStr">
        <is>
          <t>No. of Running orders</t>
        </is>
      </c>
      <c r="C3" s="3" t="inlineStr">
        <is>
          <t>Orders for FD f/up</t>
        </is>
      </c>
      <c r="D3" s="3" t="inlineStr">
        <is>
          <t>OCS done</t>
        </is>
      </c>
      <c r="E3" s="3" t="inlineStr">
        <is>
          <t>Exp.</t>
        </is>
      </c>
      <c r="F3" s="3" t="inlineStr">
        <is>
          <t>Inspn</t>
        </is>
      </c>
      <c r="G3" s="9" t="inlineStr">
        <is>
          <t>Others</t>
        </is>
      </c>
      <c r="H3" s="3" t="inlineStr">
        <is>
          <t>Total</t>
        </is>
      </c>
      <c r="I3" s="1" t="inlineStr">
        <is>
          <t>*Others/ Remarks</t>
        </is>
      </c>
      <c r="J3" s="111" t="n"/>
      <c r="K3" s="112" t="n"/>
      <c r="L3" s="110" t="inlineStr">
        <is>
          <t>Insp/ Project Coordinators</t>
        </is>
      </c>
      <c r="M3" s="111" t="n"/>
      <c r="N3" s="111" t="n"/>
      <c r="O3" s="112" t="n"/>
      <c r="P3" s="2" t="inlineStr">
        <is>
          <t xml:space="preserve">MH available as on </t>
        </is>
      </c>
      <c r="Q3" s="5" t="inlineStr">
        <is>
          <t>MH to be released for Feb'26</t>
        </is>
      </c>
      <c r="R3" t="inlineStr">
        <is>
          <t>Allotted</t>
        </is>
      </c>
      <c r="S3" t="inlineStr">
        <is>
          <t>8518 reqd</t>
        </is>
      </c>
    </row>
    <row r="4" ht="51.5" customHeight="1" s="125">
      <c r="A4" s="3" t="n">
        <v>4994</v>
      </c>
      <c r="B4" s="3" t="n">
        <v>0</v>
      </c>
      <c r="C4" s="3" t="n"/>
      <c r="D4" s="3" t="n"/>
      <c r="E4" s="3" t="n"/>
      <c r="F4" s="3" t="n"/>
      <c r="G4" s="9">
        <f>8*7</f>
        <v/>
      </c>
      <c r="H4" s="3">
        <f>SUM(E4:G4)</f>
        <v/>
      </c>
      <c r="I4" s="62" t="inlineStr">
        <is>
          <t>Enl:Weir Min (13/2) ;Enh:Belgaum Aqua (27/2)Reval: Belgaum Aqua(24/2);Fasteners &amp; Allied Products(2/2);Job Survey: ABB(17/2)</t>
        </is>
      </c>
      <c r="J4" s="63" t="n"/>
      <c r="K4" s="64" t="n"/>
      <c r="L4" s="110" t="inlineStr">
        <is>
          <t>Rajesh Sinha</t>
        </is>
      </c>
      <c r="M4" s="111" t="n"/>
      <c r="N4" s="111" t="n"/>
      <c r="O4" s="112" t="n"/>
      <c r="P4" s="3" t="n">
        <v>0</v>
      </c>
      <c r="Q4" s="3" t="n">
        <v>32</v>
      </c>
      <c r="R4" t="n">
        <v>0</v>
      </c>
      <c r="S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11/7[4326];32mh rel on 1/1[4550]</t>
        </is>
      </c>
    </row>
    <row r="5" ht="46" customHeight="1" s="125">
      <c r="A5" s="3" t="n">
        <v>6979</v>
      </c>
      <c r="B5" s="3" t="n"/>
      <c r="C5" s="3" t="n"/>
      <c r="D5" s="3" t="n"/>
      <c r="E5" s="3" t="n"/>
      <c r="F5" s="3" t="n"/>
      <c r="G5" s="9" t="n"/>
      <c r="H5" s="3" t="n">
        <v>0</v>
      </c>
      <c r="I5" s="56" t="n"/>
      <c r="J5" s="56" t="n"/>
      <c r="K5" s="56" t="n"/>
      <c r="L5" s="110" t="n"/>
      <c r="M5" s="111" t="n"/>
      <c r="N5" s="111" t="n"/>
      <c r="O5" s="112" t="n"/>
      <c r="P5" s="3" t="n"/>
      <c r="Q5" s="3" t="n"/>
      <c r="S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/>
      <c r="E6" s="3" t="n"/>
      <c r="F6" s="3" t="n">
        <v>0</v>
      </c>
      <c r="G6" s="9">
        <f>8*0</f>
        <v/>
      </c>
      <c r="H6" s="3">
        <f>SUM(E6:G6)</f>
        <v/>
      </c>
      <c r="I6" s="62" t="n"/>
      <c r="J6" s="63" t="n"/>
      <c r="K6" s="64" t="n"/>
      <c r="L6" s="110" t="inlineStr">
        <is>
          <t>Sanjeev Kumar/ Yatendra Agrawal - EIB Renovation</t>
        </is>
      </c>
      <c r="M6" s="111" t="n"/>
      <c r="N6" s="111" t="n"/>
      <c r="O6" s="112" t="n"/>
      <c r="P6" s="3" t="n"/>
      <c r="Q6" s="3" t="n"/>
      <c r="R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/>
      <c r="D7" s="3" t="n"/>
      <c r="E7" s="3" t="n">
        <v>0</v>
      </c>
      <c r="F7" s="3" t="n">
        <v>0</v>
      </c>
      <c r="G7" s="9" t="n"/>
      <c r="H7" s="3" t="n">
        <v>200</v>
      </c>
      <c r="I7" s="62" t="inlineStr">
        <is>
          <t>Admin works,Insp Guidelines/Typ Test review/ITP revision(Mech &amp; E&amp;I ITPS)/KM,NTPC Green - Discussions;HAL BD,other miscellaneous works incl.  Hosp Nomination;Capex Requirements for Off. &amp; GH, Vehicle Hiring Contract;Trgs.Aarohan(10,11/12);Dept. mtgs etc.</t>
        </is>
      </c>
      <c r="J7" s="63" t="n"/>
      <c r="K7" s="64" t="n"/>
      <c r="L7" s="110" t="inlineStr">
        <is>
          <t xml:space="preserve"> Tech Develop &amp; OH</t>
        </is>
      </c>
      <c r="M7" s="111" t="n"/>
      <c r="N7" s="111" t="n"/>
      <c r="O7" s="112" t="n"/>
      <c r="P7" s="3" t="n">
        <v>300</v>
      </c>
      <c r="Q7" s="3" t="n"/>
      <c r="S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25/7[19998]; 262 h avl on 9/1[219000]</t>
        </is>
      </c>
    </row>
    <row r="8" ht="123" customHeight="1" s="125">
      <c r="A8" s="3" t="n">
        <v>8590</v>
      </c>
      <c r="B8" s="3" t="n"/>
      <c r="C8" s="3" t="n"/>
      <c r="D8" s="3" t="n"/>
      <c r="E8" s="3" t="n"/>
      <c r="F8" s="3" t="n">
        <v>0</v>
      </c>
      <c r="G8" s="9" t="n"/>
      <c r="H8" s="3">
        <f>SUM(E8:G8)</f>
        <v/>
      </c>
      <c r="I8" s="62" t="n"/>
      <c r="J8" s="63" t="n"/>
      <c r="K8" s="64" t="n"/>
      <c r="L8" s="110" t="n"/>
      <c r="M8" s="111" t="n"/>
      <c r="N8" s="111" t="n"/>
      <c r="O8" s="112" t="n"/>
      <c r="P8" s="3" t="n"/>
      <c r="Q8" s="3" t="n"/>
    </row>
    <row r="9" ht="41.25" customHeight="1" s="125">
      <c r="A9" s="3" t="inlineStr">
        <is>
          <t>B016</t>
        </is>
      </c>
      <c r="B9" s="3" t="n">
        <v>0</v>
      </c>
      <c r="C9" s="3" t="n"/>
      <c r="D9" s="3" t="n"/>
      <c r="E9" s="3" t="n">
        <v>0</v>
      </c>
      <c r="F9" s="3" t="n"/>
      <c r="G9" s="9" t="n">
        <v>0</v>
      </c>
      <c r="H9" s="3" t="n">
        <v>0</v>
      </c>
      <c r="I9" s="57" t="inlineStr">
        <is>
          <t xml:space="preserve"> </t>
        </is>
      </c>
      <c r="J9" s="58" t="inlineStr">
        <is>
          <t xml:space="preserve"> </t>
        </is>
      </c>
      <c r="K9" s="59" t="inlineStr">
        <is>
          <t xml:space="preserve"> </t>
        </is>
      </c>
      <c r="L9" s="110" t="inlineStr">
        <is>
          <t>Uday Pratap Singh/Pankaj Saxena/Alok Singh</t>
        </is>
      </c>
      <c r="M9" s="111" t="n"/>
      <c r="N9" s="111" t="n"/>
      <c r="O9" s="112" t="n"/>
      <c r="P9" s="2" t="n"/>
      <c r="Q9" s="5" t="n"/>
      <c r="S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0</v>
      </c>
      <c r="C10" s="3" t="n"/>
      <c r="D10" s="3" t="n"/>
      <c r="E10" s="3">
        <f>B10*8</f>
        <v/>
      </c>
      <c r="F10" s="3" t="n">
        <v>0</v>
      </c>
      <c r="G10" s="12" t="n">
        <v>0</v>
      </c>
      <c r="H10" s="3">
        <f>E10+F10+G10</f>
        <v/>
      </c>
      <c r="I10" s="126" t="inlineStr">
        <is>
          <t>Expediting - Greensol;</t>
        </is>
      </c>
      <c r="J10" s="111" t="n"/>
      <c r="K10" s="112" t="n"/>
      <c r="L10" s="110" t="inlineStr">
        <is>
          <t>Saeed Akhtar/ D Jana</t>
        </is>
      </c>
      <c r="M10" s="111" t="n"/>
      <c r="N10" s="111" t="n"/>
      <c r="O10" s="112" t="n"/>
      <c r="P10" s="3" t="n">
        <v>0</v>
      </c>
      <c r="Q10" s="3">
        <f>H10-P10</f>
        <v/>
      </c>
      <c r="R10" t="inlineStr">
        <is>
          <t xml:space="preserve"> </t>
        </is>
      </c>
      <c r="S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 t="n"/>
      <c r="D11" s="3" t="n"/>
      <c r="E11" s="3">
        <f>2*B11</f>
        <v/>
      </c>
      <c r="F11" s="3" t="n">
        <v>0</v>
      </c>
      <c r="G11" s="9" t="n">
        <v>0</v>
      </c>
      <c r="H11" s="3">
        <f>E11+F11+G11</f>
        <v/>
      </c>
      <c r="I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J11" s="111" t="n"/>
      <c r="K11" s="112" t="n"/>
      <c r="L11" s="110" t="inlineStr">
        <is>
          <t>Himanghsu Pal/Sanjeev Kumar/Aasheesh Handa</t>
        </is>
      </c>
      <c r="M11" s="111" t="n"/>
      <c r="N11" s="111" t="n"/>
      <c r="O11" s="112" t="n"/>
      <c r="P11" s="3" t="n">
        <v>0</v>
      </c>
      <c r="Q11" s="3">
        <f>H11-P11</f>
        <v/>
      </c>
      <c r="S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0</v>
      </c>
      <c r="C12" s="3" t="n"/>
      <c r="D12" s="3" t="n"/>
      <c r="E12" s="3" t="n">
        <v>0</v>
      </c>
      <c r="F12" s="3" t="n"/>
      <c r="G12" s="9" t="n"/>
      <c r="H12" s="3" t="n">
        <v>0</v>
      </c>
      <c r="I12" s="56" t="inlineStr">
        <is>
          <t xml:space="preserve"> </t>
        </is>
      </c>
      <c r="J12" s="60" t="n"/>
      <c r="K12" s="61" t="n"/>
      <c r="L12" s="110" t="inlineStr">
        <is>
          <t>Patra/Sanjay Dhuria</t>
        </is>
      </c>
      <c r="M12" s="111" t="n"/>
      <c r="N12" s="111" t="n"/>
      <c r="O12" s="112" t="n"/>
      <c r="P12" s="3" t="n"/>
      <c r="Q12" s="3" t="n"/>
      <c r="S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n"/>
      <c r="D13" s="3" t="n"/>
      <c r="E13" s="3" t="inlineStr">
        <is>
          <t xml:space="preserve"> </t>
        </is>
      </c>
      <c r="F13" s="3" t="inlineStr">
        <is>
          <t xml:space="preserve"> </t>
        </is>
      </c>
      <c r="G13" s="9" t="n"/>
      <c r="H13" s="3">
        <f>8*12</f>
        <v/>
      </c>
      <c r="I13" s="62" t="inlineStr">
        <is>
          <t>Insp:C&amp;S-24-27/2(4);Microsys-21/2(1);KSBMIL-4/2(1); E&amp;H/FCRI-4,5/2(2);Others- (2d),Doc Rev: Meher-10/2;YIL-2/2(1);QAPs:JSW Motors,UPS,Delton FA&amp;PA Cables,BHEL Motors,Cords Cables,E&amp;H UFM,CGIPL T/f</t>
        </is>
      </c>
      <c r="J13" s="63" t="n"/>
      <c r="K13" s="64" t="n"/>
      <c r="L13" s="110" t="inlineStr">
        <is>
          <t>G Suresh/Mr Dipak Panchal /Ms Gauri Sharma/ Mr Sunil Saurabh</t>
        </is>
      </c>
      <c r="M13" s="111" t="n"/>
      <c r="N13" s="111" t="n"/>
      <c r="O13" s="112" t="n"/>
      <c r="P13" s="3" t="n">
        <v>0</v>
      </c>
      <c r="Q13" s="3" t="n">
        <v>56</v>
      </c>
      <c r="S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 t="n"/>
      <c r="D14" s="3" t="n"/>
      <c r="E14" s="3">
        <f>2*B14</f>
        <v/>
      </c>
      <c r="F14" s="3" t="n"/>
      <c r="G14" s="9" t="n">
        <v>0</v>
      </c>
      <c r="H14" s="3">
        <f>SUM(E14:G14)</f>
        <v/>
      </c>
      <c r="I14" s="62" t="n"/>
      <c r="J14" s="63" t="n"/>
      <c r="K14" s="64" t="n"/>
      <c r="L14" s="110" t="inlineStr">
        <is>
          <t>Muthu/Patra/JPS Kalra/DK Kesri</t>
        </is>
      </c>
      <c r="M14" s="111" t="n"/>
      <c r="N14" s="111" t="n"/>
      <c r="O14" s="112" t="n"/>
      <c r="P14" s="3" t="n"/>
      <c r="Q14" s="3" t="n"/>
      <c r="S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7</v>
      </c>
      <c r="C15" s="3" t="n">
        <v>3</v>
      </c>
      <c r="D15" t="n">
        <v>0</v>
      </c>
      <c r="E15" s="3">
        <f>2*B15</f>
        <v/>
      </c>
      <c r="F15" s="3">
        <f>8*0</f>
        <v/>
      </c>
      <c r="G15" s="9" t="n">
        <v>2</v>
      </c>
      <c r="H15" s="3">
        <f>SUM(E15:G15)</f>
        <v/>
      </c>
      <c r="I15" s="62" t="inlineStr">
        <is>
          <t>7 running orders+ 3Orders FD sub expediting; Critical Item Insp -YIL - QAP appl FO Cable(19/2)</t>
        </is>
      </c>
      <c r="J15" s="63" t="n"/>
      <c r="K15" s="64" t="n"/>
      <c r="L15" s="110" t="inlineStr">
        <is>
          <t>Muthu/VA/Rajesh Bhatla/Arun Singh Arya/Sanjay Chaudhary</t>
        </is>
      </c>
      <c r="M15" s="111" t="n"/>
      <c r="N15" s="111" t="n"/>
      <c r="O15" s="112" t="n"/>
      <c r="P15" s="3" t="n">
        <v>0</v>
      </c>
      <c r="Q15" s="3" t="n"/>
      <c r="S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</t>
        </is>
      </c>
    </row>
    <row r="16" ht="51.5" customHeight="1" s="125">
      <c r="A16" s="10" t="inlineStr">
        <is>
          <t>B285</t>
        </is>
      </c>
      <c r="B16" s="3" t="n"/>
      <c r="C16" s="3" t="n"/>
      <c r="E16" s="3" t="n"/>
      <c r="F16" s="3" t="n"/>
      <c r="G16" s="9" t="n"/>
      <c r="H16" s="3" t="n">
        <v>0</v>
      </c>
      <c r="I16" s="56" t="inlineStr">
        <is>
          <t xml:space="preserve"> </t>
        </is>
      </c>
      <c r="J16" s="60" t="n"/>
      <c r="K16" s="61" t="n"/>
      <c r="L16" s="110" t="inlineStr">
        <is>
          <t>Sanjeev Kumar/Vikalp Paliwal</t>
        </is>
      </c>
      <c r="M16" s="111" t="n"/>
      <c r="N16" s="111" t="n"/>
      <c r="O16" s="112" t="n"/>
      <c r="P16" s="3" t="n"/>
      <c r="Q16" s="3" t="n"/>
    </row>
    <row r="17" ht="112" customHeight="1" s="125">
      <c r="A17" s="10" t="inlineStr">
        <is>
          <t>B297</t>
        </is>
      </c>
      <c r="B17" s="3" t="n">
        <v>0</v>
      </c>
      <c r="C17" s="3" t="n">
        <v>1</v>
      </c>
      <c r="D17" s="95" t="n">
        <v>1</v>
      </c>
      <c r="E17" s="3">
        <f>2*D17</f>
        <v/>
      </c>
      <c r="F17" s="3">
        <f>8*1</f>
        <v/>
      </c>
      <c r="G17" s="9">
        <f>8*0</f>
        <v/>
      </c>
      <c r="H17" s="3">
        <f>SUM(E17:G17)</f>
        <v/>
      </c>
      <c r="I17" s="62" t="inlineStr">
        <is>
          <t>Exp- 1OCS+ 1-FD sub exp ; Rev&amp; Clearance of Modules of Lauritz&amp;Knudsen -27/2</t>
        </is>
      </c>
      <c r="J17" s="63" t="n"/>
      <c r="K17" s="64" t="n"/>
      <c r="L17" s="110" t="inlineStr">
        <is>
          <t>Muthu/NS Vasudev/Manish Tiwari - GAIL Pata</t>
        </is>
      </c>
      <c r="M17" s="111" t="n"/>
      <c r="N17" s="111" t="n"/>
      <c r="O17" s="112" t="n"/>
      <c r="P17" s="3" t="n">
        <v>10</v>
      </c>
      <c r="Q17" s="3" t="n"/>
      <c r="S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2</v>
      </c>
      <c r="C18" s="3" t="n">
        <v>0</v>
      </c>
      <c r="E18" s="3">
        <f>2*B18</f>
        <v/>
      </c>
      <c r="F18" s="3">
        <f>8*5</f>
        <v/>
      </c>
      <c r="G18" s="9">
        <f>8*0</f>
        <v/>
      </c>
      <c r="H18" s="3">
        <f>SUM(E18:G18)</f>
        <v/>
      </c>
      <c r="I18" s="62" t="inlineStr">
        <is>
          <t>2 Running orders ;Inspn: PO116 - Hitachi - 4,5/2; Shreem/Kalpa-11/2; Doc rev: -103-YIL/Metaval - Doc Rev, IRN endorse (6/2) Flame Det/Calibrators(26/2);Job Survey- 103-YIL/ABB-Mag FM -16/2</t>
        </is>
      </c>
      <c r="J18" s="63" t="n"/>
      <c r="K18" s="64" t="n"/>
      <c r="L18" s="110" t="inlineStr">
        <is>
          <t>Muthu/Hemant Gadasia/D Jana(302-1)/Vinod Kumar/Abhishek Rai/Balbir Singh (01-P/L &amp; 02- COT) - pump order - 02; FOA also to incl. Unit no for correlation</t>
        </is>
      </c>
      <c r="M18" s="111" t="n"/>
      <c r="N18" s="111" t="n"/>
      <c r="O18" s="112" t="n"/>
      <c r="P18" s="3" t="n"/>
      <c r="Q18" s="3" t="n"/>
      <c r="S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4</v>
      </c>
      <c r="C19" s="3" t="n">
        <v>1</v>
      </c>
      <c r="D19" t="n">
        <v>0</v>
      </c>
      <c r="E19" s="3">
        <f>2*B19+2*D19</f>
        <v/>
      </c>
      <c r="F19" s="3" t="n">
        <v>0</v>
      </c>
      <c r="G19" s="9">
        <f>8*0.25</f>
        <v/>
      </c>
      <c r="H19" s="3">
        <f>SUM(E19:G19)</f>
        <v/>
      </c>
      <c r="I19" s="62" t="inlineStr">
        <is>
          <t>4R orders+1ord FD exp;Mtgs.with Belloseal Mgmt for exp. Crash order</t>
        </is>
      </c>
      <c r="J19" s="62" t="n"/>
      <c r="K19" s="62" t="n"/>
      <c r="L19" s="110" t="inlineStr">
        <is>
          <t>Sanjeev Kumar/Lavish/HarshVardhan</t>
        </is>
      </c>
      <c r="M19" s="111" t="n"/>
      <c r="N19" s="111" t="n"/>
      <c r="O19" s="112" t="n"/>
      <c r="P19" s="3" t="n">
        <v>1</v>
      </c>
      <c r="Q19" s="3" t="n"/>
      <c r="S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</t>
        </is>
      </c>
    </row>
    <row r="20" ht="83.5" customHeight="1" s="125">
      <c r="A20" s="3" t="inlineStr">
        <is>
          <t>B359</t>
        </is>
      </c>
      <c r="B20" s="3" t="n"/>
      <c r="C20" s="3" t="n"/>
      <c r="E20" s="3" t="n"/>
      <c r="F20" s="3" t="n">
        <v>0</v>
      </c>
      <c r="G20" s="9" t="n">
        <v>0</v>
      </c>
      <c r="H20" s="3">
        <f>SUM(E20:G20)</f>
        <v/>
      </c>
      <c r="I20" s="62" t="n"/>
      <c r="J20" s="62" t="n"/>
      <c r="K20" s="62" t="n"/>
      <c r="L20" s="110" t="inlineStr">
        <is>
          <t>G Suresh/Sumanta Mondal/Abhishek/Sarvesh Kumar</t>
        </is>
      </c>
      <c r="M20" s="111" t="n"/>
      <c r="N20" s="111" t="n"/>
      <c r="O20" s="112" t="n"/>
      <c r="P20" s="3" t="n"/>
      <c r="Q20" s="3" t="n"/>
      <c r="S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t="n">
        <v>999</v>
      </c>
      <c r="C21" t="n">
        <v>888</v>
      </c>
      <c r="D21" t="n">
        <v>777</v>
      </c>
      <c r="E21" s="3" t="n">
        <v>666</v>
      </c>
      <c r="F21" s="3" t="n">
        <v>555</v>
      </c>
      <c r="G21" s="9" t="n">
        <v>444</v>
      </c>
      <c r="H21" s="3" t="n">
        <v>333</v>
      </c>
      <c r="I21" s="62" t="inlineStr">
        <is>
          <t>Expediting : 9R ord +7FDsub exp+1 OCS;Inspection: Shivananda(PO983)-6/2; ABB/Pyrotech-Doc Rev/IRN end (18/2);Kequip- Lab Insts Tender - QAP Appls-UPS/Batt/Elec.Panels/Sw.Bds etc.;Mtg. with GAIL site/HO/Eaton/YIL for site issues resoln.(6/2);</t>
        </is>
      </c>
      <c r="J21" s="62" t="n"/>
      <c r="K21" s="62" t="n"/>
      <c r="L21" s="110" t="inlineStr">
        <is>
          <t>Muthu/CS Prasad/Ajay Gupta/Rajeev Kr Khandelwal/Prakash Jagarwal/Deepak Dinkar -GAIL Usar</t>
        </is>
      </c>
      <c r="M21" s="111" t="n"/>
      <c r="N21" s="111" t="n"/>
      <c r="O21" s="112" t="n"/>
      <c r="P21" s="3" t="n">
        <v>0</v>
      </c>
      <c r="Q21" s="3" t="n"/>
      <c r="S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16/6[4328];88h rel on 1/1/26[5194]</t>
        </is>
      </c>
    </row>
    <row r="22" ht="69" customHeight="1" s="125">
      <c r="A22" s="10" t="inlineStr">
        <is>
          <t>B398</t>
        </is>
      </c>
      <c r="E22" s="3" t="n"/>
      <c r="F22" s="3" t="n"/>
      <c r="G22" s="9">
        <f>8*0</f>
        <v/>
      </c>
      <c r="H22" s="3">
        <f>SUM(E22:G22)</f>
        <v/>
      </c>
      <c r="I22" s="62" t="n"/>
      <c r="J22" s="62" t="n"/>
      <c r="K22" s="62" t="n"/>
      <c r="L22" s="110" t="n"/>
      <c r="M22" s="111" t="n"/>
      <c r="N22" s="111" t="n"/>
      <c r="O22" s="112" t="n"/>
      <c r="P22" s="3" t="n"/>
      <c r="Q22" s="3" t="n"/>
      <c r="S22" t="inlineStr">
        <is>
          <t>4h rel on 13/1[24]</t>
        </is>
      </c>
    </row>
    <row r="23" ht="48" customHeight="1" s="125">
      <c r="A23" s="10" t="inlineStr">
        <is>
          <t>B411</t>
        </is>
      </c>
      <c r="B23" s="96" t="n">
        <v>1</v>
      </c>
      <c r="E23" s="3">
        <f>2*B23</f>
        <v/>
      </c>
      <c r="F23" s="3">
        <f>8*1</f>
        <v/>
      </c>
      <c r="G23" s="9" t="n"/>
      <c r="H23" s="3">
        <f>SUM(E23:G23)</f>
        <v/>
      </c>
      <c r="I23" s="62" t="inlineStr">
        <is>
          <t>Expediting &amp; Insp - PO 411/22-Belgaum Aqua</t>
        </is>
      </c>
      <c r="J23" s="62" t="n"/>
      <c r="K23" s="62" t="n"/>
      <c r="L23" s="110" t="inlineStr">
        <is>
          <t>Muthu/Hemant Gadasia/Ravi Shankar Kadyam/Shashank Nayyar</t>
        </is>
      </c>
      <c r="M23" s="111" t="n"/>
      <c r="N23" s="111" t="n"/>
      <c r="O23" s="112" t="n"/>
      <c r="P23" s="3" t="n"/>
      <c r="Q23" s="3" t="n"/>
    </row>
    <row r="24" ht="44.5" customHeight="1" s="125">
      <c r="A24" s="10" t="inlineStr">
        <is>
          <t>B414</t>
        </is>
      </c>
      <c r="B24" t="n">
        <v>0</v>
      </c>
      <c r="C24" t="n">
        <v>3</v>
      </c>
      <c r="E24" s="3">
        <f>2*B24+1*0</f>
        <v/>
      </c>
      <c r="F24" s="3">
        <f>8*0</f>
        <v/>
      </c>
      <c r="G24" s="9">
        <f>8*0</f>
        <v/>
      </c>
      <c r="H24" s="3">
        <f>SUM(E24:G24)</f>
        <v/>
      </c>
      <c r="I24" s="62" t="inlineStr">
        <is>
          <t xml:space="preserve">3 orders FD expediting </t>
        </is>
      </c>
      <c r="J24" s="62" t="n"/>
      <c r="K24" s="62" t="n"/>
      <c r="L24" s="110" t="inlineStr">
        <is>
          <t>Sanjeev/ Shnaoli Nath</t>
        </is>
      </c>
      <c r="M24" s="111" t="n"/>
      <c r="N24" s="111" t="n"/>
      <c r="O24" s="112" t="n"/>
      <c r="P24" s="3" t="n"/>
      <c r="Q24" s="3" t="n"/>
      <c r="S24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5" ht="39.5" customHeight="1" s="125">
      <c r="A25" s="10" t="inlineStr">
        <is>
          <t>B436</t>
        </is>
      </c>
      <c r="E25" s="3" t="n">
        <v>2</v>
      </c>
      <c r="F25" s="3" t="n">
        <v>0</v>
      </c>
      <c r="G25" s="9" t="n">
        <v>0</v>
      </c>
      <c r="H25" s="3" t="n">
        <v>0</v>
      </c>
      <c r="I25" s="62" t="inlineStr">
        <is>
          <t xml:space="preserve">SCADA order on ABB </t>
        </is>
      </c>
      <c r="J25" s="62" t="n"/>
      <c r="K25" s="62" t="n"/>
      <c r="L25" s="110" t="inlineStr">
        <is>
          <t>T Ravi/Sangram Mishra/NS Vasudev</t>
        </is>
      </c>
      <c r="M25" s="111" t="n"/>
      <c r="N25" s="111" t="n"/>
      <c r="O25" s="112" t="n"/>
      <c r="P25" s="3" t="n"/>
      <c r="Q25" s="3" t="n"/>
      <c r="R25" t="inlineStr">
        <is>
          <t>10h rel on 22/5;26h rel on 12/10[38]</t>
        </is>
      </c>
    </row>
    <row r="26" ht="121.5" customHeight="1" s="125">
      <c r="A26" s="10" t="inlineStr">
        <is>
          <t>B440</t>
        </is>
      </c>
      <c r="B26" t="n">
        <v>12</v>
      </c>
      <c r="C26" t="n">
        <v>1</v>
      </c>
      <c r="D26" t="n">
        <v>0</v>
      </c>
      <c r="E26" s="3">
        <f>2*(B26 +D26)</f>
        <v/>
      </c>
      <c r="F26" s="3">
        <f>8*2</f>
        <v/>
      </c>
      <c r="G26" s="9">
        <f>8*0</f>
        <v/>
      </c>
      <c r="H26" s="3">
        <f>SUM(E26:G26)</f>
        <v/>
      </c>
      <c r="I26" s="62" t="inlineStr">
        <is>
          <t>Feb:12 R ord+ PO256-DCS FAT-16-20/2,Compl rev/IRN end.</t>
        </is>
      </c>
      <c r="J26" s="62" t="n"/>
      <c r="K26" s="62" t="n"/>
      <c r="L26" s="110" t="inlineStr">
        <is>
          <t>Mittal/Ayush Mathur/Shivaji/VVR Murthy</t>
        </is>
      </c>
      <c r="M26" s="111" t="n"/>
      <c r="N26" s="111" t="n"/>
      <c r="O26" s="112" t="n"/>
      <c r="P26" s="3" t="n"/>
      <c r="Q26" s="3" t="n"/>
      <c r="R26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7" ht="83.5" customHeight="1" s="125">
      <c r="A27" s="10" t="inlineStr">
        <is>
          <t>B448</t>
        </is>
      </c>
      <c r="E27" s="3" t="n">
        <v>0</v>
      </c>
      <c r="F27" s="3">
        <f>8*1</f>
        <v/>
      </c>
      <c r="G27" s="9">
        <f>8*0</f>
        <v/>
      </c>
      <c r="H27" s="3">
        <f>SUM(E27:G27)</f>
        <v/>
      </c>
      <c r="I27" s="62" t="inlineStr">
        <is>
          <t>ABB - Plant Automation Pkg - Metering Skid Fin. Insp - 3/2</t>
        </is>
      </c>
      <c r="J27" s="62" t="n"/>
      <c r="K27" s="62" t="n"/>
      <c r="L27" s="110" t="inlineStr">
        <is>
          <t>Sanjeev Kumar/UK Mishra/NS Vasudev</t>
        </is>
      </c>
      <c r="M27" s="111" t="n"/>
      <c r="N27" s="111" t="n"/>
      <c r="O27" s="112" t="n"/>
      <c r="P27" s="3" t="n"/>
      <c r="Q27" s="3" t="n"/>
      <c r="S27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8" ht="83.5" customHeight="1" s="125">
      <c r="A28" s="3" t="inlineStr">
        <is>
          <t>B519</t>
        </is>
      </c>
      <c r="B28" t="n">
        <v>0</v>
      </c>
      <c r="C28" t="n">
        <v>2</v>
      </c>
      <c r="D28" t="n">
        <v>0</v>
      </c>
      <c r="E28" s="3">
        <f>2*B28</f>
        <v/>
      </c>
      <c r="F28" s="3">
        <f>8*0</f>
        <v/>
      </c>
      <c r="G28" s="9">
        <f>0</f>
        <v/>
      </c>
      <c r="H28" s="3">
        <f>SUM(E28:G28)</f>
        <v/>
      </c>
      <c r="I28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insp-25/7(1d); Nov'25: 1 OCS + 2ord FD exp.; Dec'25-6827- YIL-shelters- Doc rev/IRN end.</t>
        </is>
      </c>
      <c r="J28" s="62" t="n"/>
      <c r="K28" s="62" t="n"/>
      <c r="L28" s="110" t="inlineStr">
        <is>
          <t>G Suresh/HarshVardan/Prakash Jagarwal/DSNMurty</t>
        </is>
      </c>
      <c r="M28" s="111" t="n"/>
      <c r="N28" s="111" t="n"/>
      <c r="O28" s="112" t="n"/>
      <c r="P28" s="3" t="n"/>
      <c r="Q28" s="3" t="n"/>
    </row>
    <row r="29" ht="83.5" customHeight="1" s="125">
      <c r="A29" s="10" t="inlineStr">
        <is>
          <t>B548</t>
        </is>
      </c>
      <c r="E29" s="3" t="n">
        <v>0</v>
      </c>
      <c r="F29" s="3" t="n">
        <v>0</v>
      </c>
      <c r="G29" s="9" t="n">
        <v>0</v>
      </c>
      <c r="H29" s="3">
        <f>SUM(E29:G29)</f>
        <v/>
      </c>
      <c r="I29" s="62" t="n"/>
      <c r="J29" s="62" t="n"/>
      <c r="K29" s="62" t="n"/>
      <c r="L29" s="110" t="inlineStr">
        <is>
          <t>Sanjeev Kr/T Ravi/NS Vasudev/Sanjeev Kr Gupta</t>
        </is>
      </c>
      <c r="M29" s="111" t="n"/>
      <c r="N29" s="111" t="n"/>
      <c r="O29" s="112" t="n"/>
      <c r="P29" s="3" t="n"/>
      <c r="Q29" s="3" t="n"/>
      <c r="R29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30" ht="83.5" customHeight="1" s="125">
      <c r="A30" s="10" t="inlineStr">
        <is>
          <t>B559</t>
        </is>
      </c>
      <c r="B30" t="n">
        <v>4</v>
      </c>
      <c r="C30" t="n">
        <v>0</v>
      </c>
      <c r="D30" t="n">
        <v>0</v>
      </c>
      <c r="E30" s="3">
        <f>2*D30+2*D30</f>
        <v/>
      </c>
      <c r="F30" s="3" t="n">
        <v>0</v>
      </c>
      <c r="G30" s="9" t="n">
        <v>0</v>
      </c>
      <c r="H30" s="3">
        <f>SUM(E30:G30)</f>
        <v/>
      </c>
      <c r="I30" s="62" t="inlineStr">
        <is>
          <t xml:space="preserve">IOCL Biturox,Vad-Proj. Prof. uploaded on 20/3- Desk Expediting - NO OCS; 4 R orders expediting </t>
        </is>
      </c>
      <c r="J30" s="62" t="n"/>
      <c r="K30" s="62" t="n"/>
      <c r="L30" s="110" t="inlineStr">
        <is>
          <t xml:space="preserve">Muthu/Aravaazhi/SK Gayen/RK Gupta </t>
        </is>
      </c>
      <c r="M30" s="111" t="n"/>
      <c r="N30" s="111" t="n"/>
      <c r="O30" s="112" t="n"/>
      <c r="P30" s="3" t="n"/>
      <c r="Q30" s="3" t="n"/>
      <c r="R30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31" ht="83.5" customHeight="1" s="125">
      <c r="A31" s="3" t="inlineStr">
        <is>
          <t>B560</t>
        </is>
      </c>
      <c r="B31" t="n">
        <v>1</v>
      </c>
      <c r="C31" t="n">
        <v>4</v>
      </c>
      <c r="D31" t="n">
        <v>1</v>
      </c>
      <c r="E31" s="3">
        <f>2*(B31+D31)</f>
        <v/>
      </c>
      <c r="F31" s="3" t="n"/>
      <c r="G31" s="9" t="n">
        <v>0</v>
      </c>
      <c r="H31" s="3">
        <f>SUM(E31:G31)</f>
        <v/>
      </c>
      <c r="I31" s="62" t="inlineStr">
        <is>
          <t xml:space="preserve">Req.from ED(I) for expediting on 15/6/24 -1R ord+2OCS+4 FD exp &amp; OCS also to be made as per latest reqt.; </t>
        </is>
      </c>
      <c r="J31" s="62" t="n"/>
      <c r="K31" s="62" t="n"/>
      <c r="L31" s="110" t="inlineStr">
        <is>
          <t>G Suresh/Krishna Kumar/Vinod Kumar/RK Medhavi</t>
        </is>
      </c>
      <c r="M31" s="111" t="n"/>
      <c r="N31" s="111" t="n"/>
      <c r="O31" s="112" t="n"/>
      <c r="P31" s="3" t="n"/>
      <c r="Q31" s="3" t="n"/>
      <c r="R31" t="inlineStr">
        <is>
          <t>100h rel on 23/4</t>
        </is>
      </c>
    </row>
    <row r="32" ht="83.5" customHeight="1" s="125">
      <c r="A32" s="3" t="inlineStr">
        <is>
          <t>B571</t>
        </is>
      </c>
      <c r="E32" s="3">
        <f>8*0</f>
        <v/>
      </c>
      <c r="F32" s="3" t="n"/>
      <c r="G32" s="9" t="n"/>
      <c r="H32" s="3">
        <f>SUM(E32:G32)</f>
        <v/>
      </c>
      <c r="I32" s="62" t="n"/>
      <c r="J32" s="62" t="n"/>
      <c r="K32" s="62" t="n"/>
      <c r="L32" s="110" t="n"/>
      <c r="M32" s="111" t="n"/>
      <c r="N32" s="111" t="n"/>
      <c r="O32" s="112" t="n"/>
      <c r="P32" s="3" t="n"/>
      <c r="Q32" s="3" t="n"/>
    </row>
    <row r="33" ht="44" customHeight="1" s="125">
      <c r="A33" s="10" t="inlineStr">
        <is>
          <t>B589</t>
        </is>
      </c>
      <c r="E33" s="3" t="n">
        <v>0</v>
      </c>
      <c r="F33" s="3" t="n">
        <v>0</v>
      </c>
      <c r="G33" s="9" t="n">
        <v>0</v>
      </c>
      <c r="H33" s="3" t="n">
        <v>0</v>
      </c>
      <c r="I33" s="62" t="n"/>
      <c r="J33" s="62" t="n"/>
      <c r="K33" s="62" t="n"/>
      <c r="L33" s="110" t="inlineStr">
        <is>
          <t>Himangshu Pal/Sanjeev Kr/T Ravi/NS Vasudev/Sanjeev Kr Gupta</t>
        </is>
      </c>
      <c r="M33" s="111" t="n"/>
      <c r="N33" s="111" t="n"/>
      <c r="O33" s="112" t="n"/>
      <c r="P33" s="3" t="n"/>
      <c r="Q33" s="3" t="n"/>
      <c r="R33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4" ht="83.5" customHeight="1" s="125">
      <c r="A34" s="10" t="inlineStr">
        <is>
          <t>B650</t>
        </is>
      </c>
      <c r="B34" t="n">
        <v>0</v>
      </c>
      <c r="D34" t="n">
        <v>0</v>
      </c>
      <c r="E34" s="3">
        <f>B34*2+2*D34</f>
        <v/>
      </c>
      <c r="F34" s="3" t="n"/>
      <c r="G34" s="9" t="n"/>
      <c r="H34" s="3">
        <f>SUM(E34:G34)</f>
        <v/>
      </c>
      <c r="I34" s="62" t="inlineStr">
        <is>
          <t xml:space="preserve">1ord FD exp - No scope for RPO - however, OCS to be done </t>
        </is>
      </c>
      <c r="J34" s="62" t="n"/>
      <c r="K34" s="62" t="n"/>
      <c r="L34" s="110" t="inlineStr">
        <is>
          <t>G Suresh/Sanjay Choudhary/Siddant Kumar</t>
        </is>
      </c>
      <c r="M34" s="111" t="n"/>
      <c r="N34" s="111" t="n"/>
      <c r="O34" s="112" t="n"/>
      <c r="P34" s="3" t="n"/>
      <c r="Q34" s="3" t="n"/>
    </row>
    <row r="35" ht="83.5" customHeight="1" s="125">
      <c r="A35" s="10" t="inlineStr">
        <is>
          <t>B653</t>
        </is>
      </c>
      <c r="B35" t="n">
        <v>6</v>
      </c>
      <c r="C35" t="n">
        <v>1</v>
      </c>
      <c r="D35" t="n">
        <v>2</v>
      </c>
      <c r="E35" s="3">
        <f>2*(B35+D35)*2</f>
        <v/>
      </c>
      <c r="F35" s="3" t="n"/>
      <c r="G35" s="9">
        <f>8*0</f>
        <v/>
      </c>
      <c r="H35" s="3">
        <f>SUM(E35:G35)</f>
        <v/>
      </c>
      <c r="I35" s="62" t="inlineStr">
        <is>
          <t>Expediting by RPOs as per email dtd 22/10/24, OCS by RPO as per CS mail dt 17/1; (6 running incl+1FD exp+2OCS);</t>
        </is>
      </c>
      <c r="J35" s="62" t="n"/>
      <c r="K35" s="62" t="n"/>
      <c r="L35" s="110" t="inlineStr">
        <is>
          <t>G Suresh/Krishna Kumar/Aasheesh Handa/Amandeep Kaur</t>
        </is>
      </c>
      <c r="M35" s="111" t="n"/>
      <c r="N35" s="111" t="n"/>
      <c r="O35" s="112" t="n"/>
      <c r="P35" s="3" t="n"/>
      <c r="Q35" s="3" t="n"/>
      <c r="R35" t="inlineStr">
        <is>
          <t>40h rel on 9/4/24 [40]</t>
        </is>
      </c>
    </row>
    <row r="36" ht="83.5" customHeight="1" s="125">
      <c r="A36" s="3" t="inlineStr">
        <is>
          <t>B725</t>
        </is>
      </c>
      <c r="B36" s="3" t="n">
        <v>4</v>
      </c>
      <c r="C36" s="3" t="n"/>
      <c r="E36" s="3" t="n"/>
      <c r="F36" s="3" t="n">
        <v>0</v>
      </c>
      <c r="G36" s="9" t="n">
        <v>0</v>
      </c>
      <c r="H36" s="3">
        <f>SUM(E36:G36)</f>
        <v/>
      </c>
      <c r="I36" s="62" t="inlineStr">
        <is>
          <t xml:space="preserve">No expediting; </t>
        </is>
      </c>
      <c r="J36" s="62" t="n"/>
      <c r="K36" s="62" t="n"/>
      <c r="L36" s="110" t="inlineStr">
        <is>
          <t>Sanjeev Kumar- Scope: Rev. of ITP,Insp Docs &amp; FD</t>
        </is>
      </c>
      <c r="M36" s="111" t="n"/>
      <c r="N36" s="111" t="n"/>
      <c r="O36" s="112" t="n"/>
      <c r="P36" s="3" t="n"/>
      <c r="Q36" s="3" t="n"/>
      <c r="R36" t="inlineStr">
        <is>
          <t>4h sought by BT on 27/5 to Sanjeev Kr</t>
        </is>
      </c>
    </row>
    <row r="37" ht="83.5" customHeight="1" s="125">
      <c r="A37" s="3" t="inlineStr">
        <is>
          <t>B767</t>
        </is>
      </c>
      <c r="B37" s="3" t="n"/>
      <c r="C37" s="3" t="n"/>
      <c r="E37" s="3" t="n"/>
      <c r="F37" s="3">
        <f>8*0</f>
        <v/>
      </c>
      <c r="G37" s="9" t="n">
        <v>0</v>
      </c>
      <c r="H37" s="3">
        <f>SUM(E37:G37)</f>
        <v/>
      </c>
      <c r="I37" s="62" t="n"/>
      <c r="J37" s="62" t="n"/>
      <c r="K37" s="62" t="n"/>
      <c r="L37" s="110" t="inlineStr">
        <is>
          <t>Saeed Akhtar/Vikalp Paliwal/Balakumar</t>
        </is>
      </c>
      <c r="M37" s="111" t="n"/>
      <c r="N37" s="111" t="n"/>
      <c r="O37" s="112" t="n"/>
      <c r="P37" s="3" t="n"/>
      <c r="Q37" s="3" t="n"/>
      <c r="R37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8" ht="83.5" customHeight="1" s="125">
      <c r="A38" s="3" t="inlineStr">
        <is>
          <t>B795</t>
        </is>
      </c>
      <c r="B38" s="3" t="n">
        <v>3</v>
      </c>
      <c r="C38" s="3" t="n"/>
      <c r="E38" s="3">
        <f>2*B38</f>
        <v/>
      </c>
      <c r="F38" s="3">
        <f>8*0</f>
        <v/>
      </c>
      <c r="G38" s="9">
        <f>8*0.5</f>
        <v/>
      </c>
      <c r="H38" s="3">
        <f>SUM(E38:G38)</f>
        <v/>
      </c>
      <c r="I38" s="62" t="inlineStr">
        <is>
          <t>Insp:  -QAP appl. &amp; Insp. in EIL scope(desk exp.by Monitor) ;Telecom System-ABB-Exp. By RPO as per Pjt. Profile loaded in Nov'25 - From15/11/25, expediting by RPOs;  Rev Mtg with ABB&amp;Client (2/2) &amp;Rev Mtg. with YIL &amp;Client(3/2)</t>
        </is>
      </c>
      <c r="J38" s="62" t="n"/>
      <c r="K38" s="62" t="n"/>
      <c r="L38" s="110" t="inlineStr">
        <is>
          <t>Muthu/Hemant Gadasia/Tarun Bansal/Dipak Panchal</t>
        </is>
      </c>
      <c r="M38" s="111" t="n"/>
      <c r="N38" s="111" t="n"/>
      <c r="O38" s="112" t="n"/>
      <c r="P38" s="3" t="n"/>
      <c r="Q38" s="3" t="n"/>
      <c r="R38" t="inlineStr">
        <is>
          <t>32h rels. On 12/9;64h on 16/1; addl 100h rel on 20/1 [276]</t>
        </is>
      </c>
    </row>
    <row r="39" ht="83.5" customHeight="1" s="125">
      <c r="A39" s="3" t="inlineStr">
        <is>
          <t>B813</t>
        </is>
      </c>
      <c r="B39" t="n">
        <v>0</v>
      </c>
      <c r="C39" s="3" t="n"/>
      <c r="E39" s="3">
        <f>2*B39</f>
        <v/>
      </c>
      <c r="F39" s="3" t="n"/>
      <c r="G39" s="9" t="n"/>
      <c r="H39" s="3">
        <f>SUM(E39:G39)</f>
        <v/>
      </c>
      <c r="I39" s="62" t="inlineStr">
        <is>
          <t>Expedite &amp; Inspect critical items (list provided in mail dt.29/5/25) EIL on man-day reimbursable basis - 1 order on KSBMIL</t>
        </is>
      </c>
      <c r="J39" s="62" t="n"/>
      <c r="K39" s="62" t="n"/>
      <c r="L39" s="110" t="inlineStr">
        <is>
          <t>Sanjeev Kumar/Raviraj/Shivaji</t>
        </is>
      </c>
      <c r="M39" s="111" t="n"/>
      <c r="N39" s="111" t="n"/>
      <c r="O39" s="112" t="inlineStr">
        <is>
          <t>NRL-Aqueous Ammonia Unit</t>
        </is>
      </c>
      <c r="P39" s="3" t="n"/>
      <c r="Q39" s="3" t="n"/>
    </row>
    <row r="40" ht="83.5" customHeight="1" s="125">
      <c r="A40" s="3" t="inlineStr">
        <is>
          <t>B860</t>
        </is>
      </c>
      <c r="B40" s="96" t="n">
        <v>1</v>
      </c>
      <c r="C40" s="3" t="n"/>
      <c r="E40" s="3">
        <f>8*2</f>
        <v/>
      </c>
      <c r="F40" s="3" t="n"/>
      <c r="G40" s="9" t="n"/>
      <c r="H40" s="3">
        <f>SUM(E40:G40)</f>
        <v/>
      </c>
      <c r="I40" s="62" t="inlineStr">
        <is>
          <t>YIL-Terminal Automation System - Expediting &amp; Insp. - expediting &amp; all stake holders rev.mtgs. &amp; ICP/QAP appls (ESDV)</t>
        </is>
      </c>
      <c r="J40" s="62" t="n"/>
      <c r="K40" s="62" t="n"/>
      <c r="L40" s="110" t="inlineStr">
        <is>
          <t>Muthu/Hemant Gadasia/Giridhar Nanduri/Sanjeev Gupta/RK Medhavi</t>
        </is>
      </c>
      <c r="M40" s="111" t="n"/>
      <c r="N40" s="111" t="n"/>
      <c r="O40" s="112" t="n"/>
      <c r="P40" s="3" t="inlineStr">
        <is>
          <t>KLL-Addl Terminals</t>
        </is>
      </c>
      <c r="Q40" s="3" t="n"/>
    </row>
    <row r="41" ht="83.5" customHeight="1" s="125">
      <c r="A41" s="3" t="inlineStr">
        <is>
          <t>B861</t>
        </is>
      </c>
      <c r="B41" t="n">
        <v>1</v>
      </c>
      <c r="C41" s="3" t="n"/>
      <c r="E41" s="3">
        <f>8*2</f>
        <v/>
      </c>
      <c r="F41" s="3">
        <f>8*5</f>
        <v/>
      </c>
      <c r="G41" s="9" t="n">
        <v>8</v>
      </c>
      <c r="H41" s="3">
        <f>SUM(E41:G41)</f>
        <v/>
      </c>
      <c r="I41" s="62" t="inlineStr">
        <is>
          <t>Enginemates order - Expediting, Rev. Mtg.(incl. Client CEO Visit)+ Stage Inspections,PAUT proc. Appl,Rev. of MTCs; Insp visits:18-20,26,27/2</t>
        </is>
      </c>
      <c r="J41" s="62" t="n"/>
      <c r="K41" s="62" t="n"/>
      <c r="L41" s="110" t="inlineStr">
        <is>
          <t>Muthu/Hemant Gadasia/Shashank Nayyar/D Jana</t>
        </is>
      </c>
      <c r="M41" s="111" t="n"/>
      <c r="N41" s="111" t="n"/>
      <c r="O41" s="112" t="n"/>
      <c r="P41" s="3" t="n"/>
      <c r="Q41" s="3" t="n"/>
    </row>
    <row r="42" ht="83.5" customHeight="1" s="125">
      <c r="A42" s="3" t="inlineStr">
        <is>
          <t>B862</t>
        </is>
      </c>
      <c r="B42" t="n">
        <v>7</v>
      </c>
      <c r="C42" s="3" t="n">
        <v>1</v>
      </c>
      <c r="D42" t="n">
        <v>1</v>
      </c>
      <c r="E42" s="3">
        <f>(B42+D42)*2</f>
        <v/>
      </c>
      <c r="F42" s="3" t="n"/>
      <c r="G42" s="9" t="n">
        <v>8</v>
      </c>
      <c r="H42" s="3">
        <f>SUM(E42:G42)</f>
        <v/>
      </c>
      <c r="I42" s="62" t="inlineStr">
        <is>
          <t>manhour for Level- 13 (Group-2), Level -15 &amp; 16 (Group-4) and Level-18 (Group-5) have far exceeded ceiling prescribed in the contract - &gt;Lvl 17-mh limited to 16%; Insp:PO163-Belgaum Aqua- 26,27,28/2;PO139-TS Flow - 9/2; QLAR ITP Appl -12/2</t>
        </is>
      </c>
      <c r="J42" s="62" t="n"/>
      <c r="K42" s="62" t="n"/>
      <c r="L42" s="110" t="inlineStr">
        <is>
          <t>Sanjeev Kumar/Rajeev Khandelwal IOM 10/7/24 from Mr Rajeev Khandelwal on level wise breakup of MH to be booked - to be followed while seeking MH.</t>
        </is>
      </c>
      <c r="M42" s="111" t="n"/>
      <c r="N42" s="111" t="n"/>
      <c r="O42" s="112" t="inlineStr">
        <is>
          <t>PLL</t>
        </is>
      </c>
      <c r="P42" s="3" t="n"/>
      <c r="Q42" s="3" t="n"/>
      <c r="R42" t="inlineStr">
        <is>
          <t>200h rel in May'25</t>
        </is>
      </c>
    </row>
    <row r="43" ht="83.5" customHeight="1" s="125">
      <c r="A43" s="3" t="inlineStr">
        <is>
          <t>B865</t>
        </is>
      </c>
      <c r="C43" s="3" t="n"/>
      <c r="E43" s="3" t="n"/>
      <c r="F43" s="3" t="n"/>
      <c r="G43" s="9" t="n"/>
      <c r="H43" s="3" t="n"/>
      <c r="I43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J43" s="62" t="n"/>
      <c r="K43" s="62" t="n"/>
      <c r="L43" s="110" t="inlineStr">
        <is>
          <t>Muthu/CS Prasad/</t>
        </is>
      </c>
      <c r="M43" s="111" t="n"/>
      <c r="N43" s="111" t="n"/>
      <c r="O43" s="112" t="inlineStr">
        <is>
          <t>HPCL Petchem Mktg Terminal</t>
        </is>
      </c>
      <c r="P43" s="3" t="n"/>
      <c r="Q43" s="3" t="n"/>
    </row>
    <row r="44" ht="83.5" customHeight="1" s="125">
      <c r="A44" s="3" t="inlineStr">
        <is>
          <t>B889</t>
        </is>
      </c>
      <c r="B44" t="n">
        <v>3</v>
      </c>
      <c r="C44" s="3" t="n"/>
      <c r="E44" s="3">
        <f>2*B44</f>
        <v/>
      </c>
      <c r="F44" s="3" t="n"/>
      <c r="G44" s="9" t="n"/>
      <c r="H44" s="3">
        <f>SUM(E44:G44)</f>
        <v/>
      </c>
      <c r="I44" s="62" t="inlineStr">
        <is>
          <t>Expediting+OCS</t>
        </is>
      </c>
      <c r="J44" s="62" t="n"/>
      <c r="K44" s="62" t="n"/>
      <c r="L44" s="110" t="inlineStr">
        <is>
          <t>Vasu/</t>
        </is>
      </c>
      <c r="M44" s="111" t="n"/>
      <c r="N44" s="111" t="n"/>
      <c r="O44" s="112" t="inlineStr">
        <is>
          <t>MIL-Khadki</t>
        </is>
      </c>
      <c r="P44" s="3" t="n"/>
      <c r="Q44" s="3" t="n"/>
    </row>
    <row r="45" ht="83.5" customHeight="1" s="125">
      <c r="A45" s="3" t="inlineStr">
        <is>
          <t>B895</t>
        </is>
      </c>
      <c r="B45" t="n">
        <v>3</v>
      </c>
      <c r="C45" s="3" t="n"/>
      <c r="E45" s="3">
        <f>2*B45</f>
        <v/>
      </c>
      <c r="F45" s="3" t="n">
        <v>8</v>
      </c>
      <c r="G45" s="9" t="n">
        <v>0</v>
      </c>
      <c r="H45" s="3">
        <f>SUM(E45:G45)</f>
        <v/>
      </c>
      <c r="I45" s="62" t="inlineStr">
        <is>
          <t>3 R orders ; Insp: PO2805-9/9</t>
        </is>
      </c>
      <c r="J45" s="62" t="n"/>
      <c r="K45" s="62" t="n"/>
      <c r="L45" s="110" t="inlineStr">
        <is>
          <t>Muthu/CS Prasad/Sujit Saha Roy/Shashank/Rajesh Bhatla</t>
        </is>
      </c>
      <c r="M45" s="111" t="n"/>
      <c r="N45" s="111" t="n"/>
      <c r="O45" s="112" t="n"/>
      <c r="P45" s="3" t="inlineStr">
        <is>
          <t>BPCL Kochi - Exp+Insp</t>
        </is>
      </c>
      <c r="Q45" s="3" t="n"/>
      <c r="R45" t="inlineStr">
        <is>
          <t>6h rel on 1/1[8]</t>
        </is>
      </c>
    </row>
    <row r="46" ht="83.5" customHeight="1" s="125">
      <c r="A46" s="3" t="inlineStr">
        <is>
          <t>B903</t>
        </is>
      </c>
      <c r="B46" t="n">
        <v>2</v>
      </c>
      <c r="C46" s="3" t="n">
        <v>0</v>
      </c>
      <c r="D46" t="n">
        <v>0</v>
      </c>
      <c r="E46" s="3">
        <f>2*(B46+D46)</f>
        <v/>
      </c>
      <c r="F46" s="3" t="n">
        <v>0</v>
      </c>
      <c r="G46" s="9" t="n"/>
      <c r="H46" s="3">
        <f>SUM(E46:G46)</f>
        <v/>
      </c>
      <c r="I46" s="62" t="inlineStr">
        <is>
          <t>2R ord</t>
        </is>
      </c>
      <c r="J46" s="62" t="n"/>
      <c r="K46" s="62" t="n"/>
      <c r="L46" s="110" t="inlineStr">
        <is>
          <t>Sanjeev Kumar/Shnaoli</t>
        </is>
      </c>
      <c r="M46" s="111" t="n"/>
      <c r="N46" s="111" t="n"/>
      <c r="O46" s="112" t="n"/>
      <c r="P46" s="3" t="n"/>
      <c r="Q46" s="3" t="n"/>
    </row>
    <row r="47" ht="83.5" customHeight="1" s="125">
      <c r="A47" s="3" t="inlineStr">
        <is>
          <t>B904</t>
        </is>
      </c>
      <c r="B47" t="n">
        <v>0</v>
      </c>
      <c r="C47" s="3" t="n"/>
      <c r="D47" t="n">
        <v>0</v>
      </c>
      <c r="E47" s="3">
        <f>2*0</f>
        <v/>
      </c>
      <c r="F47" s="3" t="n"/>
      <c r="G47" s="9" t="n"/>
      <c r="H47" s="3">
        <f>SUM(E47:G47)</f>
        <v/>
      </c>
      <c r="I47" s="62" t="n"/>
      <c r="J47" s="62" t="n"/>
      <c r="K47" s="62" t="n"/>
      <c r="L47" s="110" t="inlineStr">
        <is>
          <t>Sanjeev Kumar/Shnaoli</t>
        </is>
      </c>
      <c r="M47" s="111" t="n"/>
      <c r="N47" s="111" t="n"/>
      <c r="O47" s="112" t="n"/>
      <c r="P47" s="3" t="n"/>
      <c r="Q47" s="3" t="n"/>
    </row>
    <row r="48" ht="83.5" customHeight="1" s="125">
      <c r="A48" s="3" t="inlineStr">
        <is>
          <t>B933</t>
        </is>
      </c>
      <c r="B48" t="n">
        <v>7</v>
      </c>
      <c r="C48" s="3" t="n"/>
      <c r="E48" s="3">
        <f>2*B48</f>
        <v/>
      </c>
      <c r="F48" s="3">
        <f>8*0</f>
        <v/>
      </c>
      <c r="G48" s="9" t="n">
        <v>16</v>
      </c>
      <c r="H48" s="3">
        <f>SUM(E48:G48)</f>
        <v/>
      </c>
      <c r="I48" s="62" t="inlineStr">
        <is>
          <t>7 Orders exp.; Dedicated rev. mtgs. With Flowserve,Phils  &amp;YIL for expediting+Quality docs. Reqts</t>
        </is>
      </c>
      <c r="J48" s="62" t="n"/>
      <c r="K48" s="62" t="n"/>
      <c r="L48" s="110" t="inlineStr">
        <is>
          <t>G Suresh/Binoy Debnath</t>
        </is>
      </c>
      <c r="M48" s="111" t="n"/>
      <c r="N48" s="111" t="n"/>
      <c r="O48" s="112" t="n"/>
      <c r="P48" s="3" t="inlineStr">
        <is>
          <t>BPCL Bina ref.</t>
        </is>
      </c>
      <c r="Q48" s="3" t="n"/>
    </row>
    <row r="49" ht="83.5" customHeight="1" s="125">
      <c r="A49" s="3" t="inlineStr">
        <is>
          <t>B943</t>
        </is>
      </c>
      <c r="B49" t="n">
        <v>3</v>
      </c>
      <c r="C49" s="3" t="n"/>
      <c r="E49" s="3">
        <f>2*B49</f>
        <v/>
      </c>
      <c r="F49" s="3" t="n"/>
      <c r="G49" s="9" t="n"/>
      <c r="H49" s="3">
        <f>SUM(E49:G49)</f>
        <v/>
      </c>
      <c r="I49" s="62" t="inlineStr">
        <is>
          <t>3 orders exp.</t>
        </is>
      </c>
      <c r="J49" s="62" t="n"/>
      <c r="K49" s="62" t="n"/>
      <c r="L49" s="110" t="inlineStr">
        <is>
          <t>Sanjeev Kumar</t>
        </is>
      </c>
      <c r="M49" s="111" t="n"/>
      <c r="N49" s="111" t="n"/>
      <c r="O49" s="112" t="inlineStr">
        <is>
          <t>MRPL</t>
        </is>
      </c>
      <c r="P49" s="3" t="n"/>
      <c r="Q49" s="3" t="n"/>
    </row>
    <row r="50" ht="83.5" customHeight="1" s="125">
      <c r="A50" s="3" t="inlineStr">
        <is>
          <t>B957</t>
        </is>
      </c>
      <c r="B50" s="3" t="n">
        <v>2</v>
      </c>
      <c r="C50" s="3" t="n"/>
      <c r="E50" s="3">
        <f>B50*2</f>
        <v/>
      </c>
      <c r="F50" s="3">
        <f>8*2</f>
        <v/>
      </c>
      <c r="G50" s="9">
        <f>8*3</f>
        <v/>
      </c>
      <c r="H50" s="3">
        <f>SUM(E50:G50)</f>
        <v/>
      </c>
      <c r="I50" s="62" t="inlineStr">
        <is>
          <t>Vihawk - Mtgs. With all stake holders on 9,19; QAP related mtgs. With sub-vendors-4,5,6/2,Doc rev.20/2; FAT-23,24/2</t>
        </is>
      </c>
      <c r="J50" s="62" t="n"/>
      <c r="K50" s="62" t="n"/>
      <c r="L50" s="110" t="n"/>
      <c r="M50" s="111" t="n"/>
      <c r="N50" s="111" t="n"/>
      <c r="O50" s="112" t="n"/>
      <c r="P50" s="3" t="n"/>
      <c r="Q50" s="3" t="n"/>
    </row>
    <row r="51" ht="83.5" customHeight="1" s="125">
      <c r="A51" s="3" t="inlineStr">
        <is>
          <t>B964</t>
        </is>
      </c>
      <c r="B51" s="3" t="n"/>
      <c r="C51" s="3" t="n"/>
      <c r="E51" s="3" t="n"/>
      <c r="F51" s="3" t="n"/>
      <c r="G51" s="9" t="n"/>
      <c r="H51" s="3" t="n"/>
      <c r="I51" s="62" t="inlineStr">
        <is>
          <t xml:space="preserve"> </t>
        </is>
      </c>
      <c r="J51" s="62" t="n"/>
      <c r="K51" s="62" t="n"/>
      <c r="L51" s="110" t="inlineStr">
        <is>
          <t>Muthu/Hemant Gadasia/Sarvesh Kumar</t>
        </is>
      </c>
      <c r="M51" s="111" t="n"/>
      <c r="N51" s="111" t="n"/>
      <c r="O51" s="112" t="n"/>
      <c r="P51" s="3" t="n"/>
      <c r="Q51" s="3" t="n"/>
    </row>
    <row r="52" ht="83.5" customHeight="1" s="125">
      <c r="A52" s="3" t="inlineStr">
        <is>
          <t>C007</t>
        </is>
      </c>
      <c r="B52" s="3" t="n">
        <v>0</v>
      </c>
      <c r="C52" s="3" t="n"/>
      <c r="E52" s="3" t="n"/>
      <c r="F52" s="3">
        <f>8*B52</f>
        <v/>
      </c>
      <c r="G52" s="9" t="n"/>
      <c r="H52" s="3">
        <f>SUM(E52:G52)</f>
        <v/>
      </c>
      <c r="I52" s="62" t="inlineStr">
        <is>
          <t xml:space="preserve">Scope: Insp/Exp. of GAIL dir. Orders - </t>
        </is>
      </c>
      <c r="J52" s="62" t="n"/>
      <c r="K52" s="62" t="n"/>
      <c r="L52" s="110" t="inlineStr">
        <is>
          <t>Muthu/Hemant Gadasia/Rajeev Chak/RSKanna</t>
        </is>
      </c>
      <c r="M52" s="111" t="n"/>
      <c r="N52" s="111" t="n"/>
      <c r="O52" s="112" t="n"/>
      <c r="P52" s="3" t="inlineStr">
        <is>
          <t>Vijaypur/Pata P/L</t>
        </is>
      </c>
      <c r="Q52" s="3" t="n"/>
    </row>
    <row r="53" ht="83.5" customHeight="1" s="125">
      <c r="A53" s="3" t="inlineStr">
        <is>
          <t>C028</t>
        </is>
      </c>
      <c r="B53" s="3" t="n">
        <v>0</v>
      </c>
      <c r="C53" s="3" t="n"/>
      <c r="E53" s="3" t="n"/>
      <c r="F53" s="3" t="n"/>
      <c r="G53" s="9" t="n"/>
      <c r="H53" s="3">
        <f>8*B53</f>
        <v/>
      </c>
      <c r="I53" s="62" t="inlineStr">
        <is>
          <t xml:space="preserve">Pipemill Coating </t>
        </is>
      </c>
      <c r="J53" s="62" t="n"/>
      <c r="K53" s="62" t="n"/>
      <c r="L53" s="110" t="n"/>
      <c r="M53" s="111" t="n"/>
      <c r="N53" s="111" t="n"/>
      <c r="O53" s="112" t="n"/>
      <c r="P53" s="3" t="n"/>
      <c r="Q53" s="3" t="n"/>
    </row>
    <row r="54" ht="31" customHeight="1" s="125">
      <c r="A54" s="3" t="inlineStr">
        <is>
          <t>C068</t>
        </is>
      </c>
      <c r="B54" s="3" t="n">
        <v>2</v>
      </c>
      <c r="C54" s="3" t="n"/>
      <c r="E54" s="3">
        <f>2*B54</f>
        <v/>
      </c>
      <c r="F54" s="3" t="n"/>
      <c r="G54" s="9">
        <f>8*0.25</f>
        <v/>
      </c>
      <c r="H54" s="3">
        <f>SUM(E54:G54)</f>
        <v/>
      </c>
      <c r="I54" s="62" t="inlineStr">
        <is>
          <t>FS-Pumps - KOM with Client participation - 2/2</t>
        </is>
      </c>
      <c r="J54" s="62" t="n"/>
      <c r="K54" s="62" t="n"/>
      <c r="L54" s="110" t="inlineStr">
        <is>
          <t>T.Vasu/Dipak Panchal/SK Singh</t>
        </is>
      </c>
      <c r="M54" s="111" t="n"/>
      <c r="N54" s="111" t="n"/>
      <c r="O54" s="112" t="n"/>
      <c r="P54" s="3" t="n"/>
      <c r="Q54" s="3" t="n"/>
    </row>
    <row r="55" ht="46" customHeight="1" s="125">
      <c r="A55" s="3" t="inlineStr">
        <is>
          <t>Leave</t>
        </is>
      </c>
      <c r="B55" s="3" t="n">
        <v>12.5</v>
      </c>
      <c r="C55" s="3" t="n"/>
      <c r="D55" s="3" t="n"/>
      <c r="E55" s="3" t="n"/>
      <c r="F55" s="3" t="n"/>
      <c r="G55" s="9" t="inlineStr">
        <is>
          <t xml:space="preserve"> </t>
        </is>
      </c>
      <c r="H55" s="3">
        <f>8*B55</f>
        <v/>
      </c>
      <c r="I55" s="62" t="inlineStr">
        <is>
          <t>VR:11 ;AG:2,3;SV-19,20,23;BT-16,17,18,25(0.5);NV-9,10,11; Viji -2,3,4,19,27</t>
        </is>
      </c>
      <c r="J55" s="62" t="n"/>
      <c r="K55" s="62" t="n"/>
      <c r="L55" s="110" t="inlineStr">
        <is>
          <t xml:space="preserve"> </t>
        </is>
      </c>
      <c r="M55" s="111" t="n"/>
      <c r="N55" s="111" t="n"/>
      <c r="O55" s="112" t="n"/>
      <c r="P55" s="3" t="n"/>
      <c r="Q55" s="3">
        <f>H55-P55</f>
        <v/>
      </c>
      <c r="R55" t="n">
        <v>68</v>
      </c>
    </row>
    <row r="56" ht="45.5" customHeight="1" s="125">
      <c r="A56" s="3" t="inlineStr">
        <is>
          <t>Total</t>
        </is>
      </c>
      <c r="B56" s="3">
        <f>SUM(B10:B55)</f>
        <v/>
      </c>
      <c r="C56" s="3" t="n"/>
      <c r="D56" s="3" t="n"/>
      <c r="E56" s="3" t="n"/>
      <c r="F56" s="3" t="n"/>
      <c r="G56" s="9" t="n"/>
      <c r="H56" s="3">
        <f>SUM(H4:H55)</f>
        <v/>
      </c>
      <c r="I56" s="56" t="n"/>
      <c r="J56" s="56" t="n"/>
      <c r="K56" s="56" t="n"/>
      <c r="L56" s="110" t="n"/>
      <c r="M56" s="111" t="n"/>
      <c r="N56" s="111" t="n"/>
      <c r="O56" s="112" t="n"/>
      <c r="P56" s="3" t="n"/>
      <c r="Q56" s="3">
        <f>H56-P56</f>
        <v/>
      </c>
      <c r="R56">
        <f>SUM(R10:R55)</f>
        <v/>
      </c>
      <c r="S56">
        <f>672-R56</f>
        <v/>
      </c>
    </row>
    <row r="57" ht="83.5" customHeight="1" s="125">
      <c r="A57" s="3" t="n"/>
      <c r="B57" s="3" t="n"/>
      <c r="C57" s="3" t="n"/>
      <c r="D57" s="3" t="n"/>
      <c r="E57" s="3" t="n"/>
      <c r="F57" s="3" t="n"/>
      <c r="G57" s="9" t="n"/>
      <c r="H57" s="3" t="inlineStr">
        <is>
          <t xml:space="preserve"> </t>
        </is>
      </c>
      <c r="I57" s="56" t="n"/>
      <c r="J57" s="56" t="n"/>
      <c r="K57" s="56">
        <f>52*5*3- 36</f>
        <v/>
      </c>
      <c r="L57" s="110" t="n"/>
      <c r="M57" s="111" t="n"/>
      <c r="N57" s="111" t="n"/>
      <c r="O57" s="112" t="n"/>
      <c r="P57" s="3" t="n"/>
      <c r="Q57" s="3" t="n"/>
    </row>
    <row r="58" ht="83.5" customHeight="1" s="125">
      <c r="A58" s="3" t="inlineStr">
        <is>
          <t>Notes:</t>
        </is>
      </c>
      <c r="B58" s="3" t="n"/>
      <c r="C58" s="3" t="n"/>
      <c r="D58" s="3" t="n"/>
      <c r="E58" s="3" t="n"/>
      <c r="F58" s="3" t="n"/>
      <c r="G58" s="9" t="n"/>
      <c r="H58" s="3" t="n"/>
      <c r="I58" s="56" t="n"/>
      <c r="J58" s="56" t="n"/>
      <c r="K58" s="56" t="n"/>
      <c r="L58" s="110" t="n"/>
      <c r="M58" s="111" t="inlineStr">
        <is>
          <t xml:space="preserve"> </t>
        </is>
      </c>
      <c r="N58" s="111" t="n"/>
      <c r="O58" s="112" t="n"/>
      <c r="P58" s="3" t="n"/>
      <c r="Q58" s="3" t="n"/>
    </row>
    <row r="59" ht="83.5" customHeight="1" s="125">
      <c r="A59" s="3" t="inlineStr">
        <is>
          <t>1. If there are any other job nos., pl. include the same.</t>
        </is>
      </c>
      <c r="B59" s="3" t="n"/>
      <c r="C59" s="3" t="n"/>
      <c r="D59" s="3" t="n"/>
      <c r="E59" s="3" t="n"/>
      <c r="F59" s="3" t="n"/>
      <c r="G59" s="9" t="n"/>
      <c r="H59" s="3" t="n"/>
      <c r="I59" s="9" t="inlineStr">
        <is>
          <t xml:space="preserve"> </t>
        </is>
      </c>
      <c r="J59" s="111" t="n"/>
      <c r="K59" s="112" t="n"/>
      <c r="L59" s="6" t="inlineStr">
        <is>
          <t xml:space="preserve"> </t>
        </is>
      </c>
      <c r="M59" s="7" t="inlineStr">
        <is>
          <t xml:space="preserve"> </t>
        </is>
      </c>
      <c r="N59" s="7" t="n"/>
      <c r="O59" s="8" t="n"/>
      <c r="P59" s="3" t="n"/>
      <c r="Q59" s="3" t="n"/>
    </row>
    <row r="60">
      <c r="A60" s="24" t="inlineStr">
        <is>
          <t xml:space="preserve">Guidelines : </t>
        </is>
      </c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</row>
    <row r="61">
      <c r="A61" s="26" t="inlineStr">
        <is>
          <t>1. Inspection Visit including review and endorsement of final documents: At  actual</t>
        </is>
      </c>
      <c r="B61" s="26" t="n"/>
      <c r="C61" s="26" t="n"/>
      <c r="D61" s="26" t="n"/>
    </row>
    <row r="62">
      <c r="A62" s="26" t="inlineStr">
        <is>
          <t xml:space="preserve">2. Expediting and preparation of expediting report: Average 2 hours /month /order ( No separate man hours for coordination ) </t>
        </is>
      </c>
      <c r="S62" t="inlineStr">
        <is>
          <t xml:space="preserve"> </t>
        </is>
      </c>
    </row>
    <row r="63">
      <c r="A63" s="26" t="inlineStr">
        <is>
          <t xml:space="preserve">3. Expediting visit/ Attending meeting with project/.Client: At  actual </t>
        </is>
      </c>
    </row>
    <row r="64">
      <c r="A64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5">
      <c r="A65" s="26" t="inlineStr">
        <is>
          <t xml:space="preserve">5. Review of ITP for Equipment (Mechanical and Electrical/DCS etc): Average 2 hours/order </t>
        </is>
      </c>
      <c r="O65" t="inlineStr">
        <is>
          <t xml:space="preserve"> </t>
        </is>
      </c>
    </row>
    <row r="66">
      <c r="A66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7">
      <c r="A67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8">
      <c r="A68" s="26" t="inlineStr">
        <is>
          <t xml:space="preserve">8. Order Closing report: Average 2 hours/Order  </t>
        </is>
      </c>
    </row>
    <row r="69">
      <c r="A69" s="27" t="n"/>
    </row>
    <row r="70">
      <c r="L70" t="inlineStr">
        <is>
          <t xml:space="preserve"> </t>
        </is>
      </c>
    </row>
  </sheetData>
  <mergeCells count="7">
    <mergeCell ref="I11:K11"/>
    <mergeCell ref="I10:K10"/>
    <mergeCell ref="I59:K59"/>
    <mergeCell ref="A2:K2"/>
    <mergeCell ref="L2:O2"/>
    <mergeCell ref="I3:K3"/>
    <mergeCell ref="A1:K1"/>
  </mergeCells>
  <pageMargins left="0.7" right="0.7" top="0.75" bottom="0.75" header="0.3" footer="0.3"/>
  <pageSetup orientation="landscape" paperSize="9"/>
</worksheet>
</file>

<file path=xl/worksheets/sheet2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Y67"/>
  <sheetViews>
    <sheetView topLeftCell="D6" workbookViewId="0">
      <selection activeCell="M17" sqref="M17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46054</v>
      </c>
      <c r="M1" s="122" t="inlineStr">
        <is>
          <t xml:space="preserve">Total MH reqd: </t>
        </is>
      </c>
      <c r="O1" s="122">
        <f>ConsolidatedMHrequirementFeb26!A2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24/12/25</t>
        </is>
      </c>
      <c r="L3" s="33" t="inlineStr">
        <is>
          <t>Shortfall</t>
        </is>
      </c>
    </row>
    <row r="4" ht="15" customHeight="1" s="125">
      <c r="A4" s="71" t="n">
        <v>4994</v>
      </c>
      <c r="B4" s="3">
        <f>ConsolidatedMHrequirementFeb26!B4</f>
        <v/>
      </c>
      <c r="C4" s="3" t="n"/>
      <c r="D4" s="3" t="n"/>
      <c r="E4" s="3" t="n"/>
      <c r="F4" s="41">
        <f>VLOOKUP(A4,ConsolidatedMHrequirementFeb26!$A$4:$K$55,4,FALSE)</f>
        <v/>
      </c>
      <c r="G4" s="3">
        <f>ConsolidatedMHrequirementFeb26!F4</f>
        <v/>
      </c>
      <c r="H4" s="3">
        <f>ConsolidatedMHrequirementFeb26!E4</f>
        <v/>
      </c>
      <c r="I4" s="3">
        <f>ConsolidatedMHrequirementFeb26!G4</f>
        <v/>
      </c>
      <c r="J4" s="41">
        <f>VLOOKUP(A4,ConsolidatedMHrequirementFeb26!$A$4:$K$56,8,FALSE)</f>
        <v/>
      </c>
      <c r="K4" s="3" t="n">
        <v>0</v>
      </c>
      <c r="L4" s="3">
        <f>J4-K4</f>
        <v/>
      </c>
      <c r="M4" s="69">
        <f>ConsolidatedMHrequirementFeb26!I4</f>
        <v/>
      </c>
    </row>
    <row r="5">
      <c r="A5" s="71" t="n">
        <v>6979</v>
      </c>
      <c r="B5" s="3">
        <f>ConsolidatedMHrequirementFeb26!B5</f>
        <v/>
      </c>
      <c r="C5" s="3" t="n"/>
      <c r="D5" s="3" t="n"/>
      <c r="E5" s="3" t="n"/>
      <c r="F5" s="41">
        <f>VLOOKUP(A5,ConsolidatedMHrequirementFeb26!$A$4:$K$55,4,FALSE)</f>
        <v/>
      </c>
      <c r="G5" s="3">
        <f>ConsolidatedMHrequirementFeb26!F5</f>
        <v/>
      </c>
      <c r="H5" s="3">
        <f>ConsolidatedMHrequirementFeb26!E5</f>
        <v/>
      </c>
      <c r="I5" s="3">
        <f>ConsolidatedMHrequirementFeb26!G5</f>
        <v/>
      </c>
      <c r="J5" s="41">
        <f>VLOOKUP(A5,ConsolidatedMHrequirementFeb26!$A$4:$K$56,8,FALSE)</f>
        <v/>
      </c>
      <c r="K5" s="3" t="n">
        <v>0</v>
      </c>
      <c r="L5" s="3">
        <f>J5-K5</f>
        <v/>
      </c>
      <c r="M5" s="69">
        <f>ConsolidatedMHrequirementFeb26!I5</f>
        <v/>
      </c>
      <c r="N5" s="69" t="n"/>
      <c r="O5" s="69" t="n"/>
      <c r="P5" s="69" t="n"/>
      <c r="Q5" s="69" t="n"/>
      <c r="R5" s="69" t="n"/>
      <c r="S5" s="69" t="n"/>
      <c r="T5" s="69" t="n"/>
    </row>
    <row r="6" ht="14.5" customFormat="1" customHeight="1" s="34">
      <c r="A6" s="71" t="n">
        <v>7716</v>
      </c>
      <c r="B6" s="3">
        <f>ConsolidatedMHrequirementFeb26!B6</f>
        <v/>
      </c>
      <c r="C6" s="3" t="n"/>
      <c r="D6" s="3" t="n"/>
      <c r="E6" s="3" t="n"/>
      <c r="F6" s="41">
        <f>VLOOKUP(A6,ConsolidatedMHrequirementFeb26!$A$4:$K$55,4,FALSE)</f>
        <v/>
      </c>
      <c r="G6" s="3">
        <f>ConsolidatedMHrequirementFeb26!F6</f>
        <v/>
      </c>
      <c r="H6" s="3">
        <f>ConsolidatedMHrequirementFeb26!E6</f>
        <v/>
      </c>
      <c r="I6" s="3">
        <f>ConsolidatedMHrequirementFeb26!G6</f>
        <v/>
      </c>
      <c r="J6" s="41">
        <f>VLOOKUP(A6,ConsolidatedMHrequirementFeb26!$A$4:$K$56,8,FALSE)</f>
        <v/>
      </c>
      <c r="K6" s="3" t="n">
        <v>0</v>
      </c>
      <c r="L6" s="3">
        <f>J6-K6</f>
        <v/>
      </c>
      <c r="M6" s="69">
        <f>ConsolidatedMHrequirementFeb26!I6</f>
        <v/>
      </c>
      <c r="N6" s="69" t="n"/>
      <c r="O6" s="69" t="n"/>
      <c r="P6" s="69" t="n"/>
      <c r="Q6" s="69" t="n"/>
      <c r="R6" s="69" t="n"/>
      <c r="S6" s="69" t="n"/>
      <c r="T6" s="69" t="n"/>
    </row>
    <row r="7" ht="14.5" customFormat="1" customHeight="1" s="34">
      <c r="A7" s="71" t="n">
        <v>8518</v>
      </c>
      <c r="B7" s="3">
        <f>ConsolidatedMHrequirementFeb26!B7</f>
        <v/>
      </c>
      <c r="C7" s="3" t="n"/>
      <c r="D7" s="3" t="n"/>
      <c r="E7" s="3" t="n"/>
      <c r="F7" s="41">
        <f>VLOOKUP(A7,ConsolidatedMHrequirementFeb26!$A$4:$K$55,4,FALSE)</f>
        <v/>
      </c>
      <c r="G7" s="3">
        <f>ConsolidatedMHrequirementFeb26!F7</f>
        <v/>
      </c>
      <c r="H7" s="3">
        <f>ConsolidatedMHrequirementFeb26!E7</f>
        <v/>
      </c>
      <c r="I7" s="3">
        <f>ConsolidatedMHrequirementFeb26!G7</f>
        <v/>
      </c>
      <c r="J7" s="41">
        <f>VLOOKUP(A7,ConsolidatedMHrequirementFeb26!$A$4:$K$56,8,FALSE)</f>
        <v/>
      </c>
      <c r="K7" s="3" t="n">
        <v>0</v>
      </c>
      <c r="L7" s="3">
        <f>J7-K7</f>
        <v/>
      </c>
      <c r="M7" s="69">
        <f>ConsolidatedMHrequirementFeb26!I7</f>
        <v/>
      </c>
      <c r="N7" s="69" t="n"/>
      <c r="O7" s="69" t="n"/>
      <c r="P7" s="69" t="n"/>
      <c r="Q7" s="69" t="n"/>
      <c r="R7" s="69" t="n"/>
      <c r="S7" s="69" t="n"/>
      <c r="T7" s="69" t="n"/>
    </row>
    <row r="8" ht="14.5" customFormat="1" customHeight="1" s="34">
      <c r="A8" s="71" t="n">
        <v>8590</v>
      </c>
      <c r="B8" s="3">
        <f>ConsolidatedMHrequirementFeb26!B8</f>
        <v/>
      </c>
      <c r="C8" s="3" t="n"/>
      <c r="D8" s="3" t="n"/>
      <c r="E8" s="3" t="n"/>
      <c r="F8" s="41">
        <f>VLOOKUP(A8,ConsolidatedMHrequirementFeb26!$A$4:$K$55,4,FALSE)</f>
        <v/>
      </c>
      <c r="G8" s="3">
        <f>ConsolidatedMHrequirementFeb26!F8</f>
        <v/>
      </c>
      <c r="H8" s="3">
        <f>ConsolidatedMHrequirementFeb26!E8</f>
        <v/>
      </c>
      <c r="I8" s="3">
        <f>ConsolidatedMHrequirementFeb26!G8</f>
        <v/>
      </c>
      <c r="J8" s="41">
        <f>VLOOKUP(A8,ConsolidatedMHrequirementFeb26!$A$4:$K$56,8,FALSE)</f>
        <v/>
      </c>
      <c r="K8" s="3" t="n">
        <v>0</v>
      </c>
      <c r="L8" s="3">
        <f>J8-K8</f>
        <v/>
      </c>
      <c r="M8" s="69">
        <f>ConsolidatedMHrequirementFeb26!I8</f>
        <v/>
      </c>
      <c r="N8" s="69" t="n"/>
      <c r="O8" s="69" t="n"/>
      <c r="P8" s="69" t="n"/>
      <c r="Q8" s="69" t="n"/>
      <c r="R8" s="69" t="n"/>
      <c r="S8" s="69" t="n"/>
      <c r="T8" s="69" t="n"/>
    </row>
    <row r="9" customFormat="1" s="34">
      <c r="A9" s="10" t="inlineStr">
        <is>
          <t>B016</t>
        </is>
      </c>
      <c r="B9" s="3">
        <f>ConsolidatedMHrequirementFeb26!B9</f>
        <v/>
      </c>
      <c r="C9" s="3" t="n"/>
      <c r="D9" s="3" t="n"/>
      <c r="E9" s="3" t="n"/>
      <c r="F9" s="41">
        <f>VLOOKUP(A9,ConsolidatedMHrequirementFeb26!$A$4:$K$55,4,FALSE)</f>
        <v/>
      </c>
      <c r="G9" s="3">
        <f>ConsolidatedMHrequirementFeb26!F9</f>
        <v/>
      </c>
      <c r="H9" s="3">
        <f>ConsolidatedMHrequirementFeb26!E9</f>
        <v/>
      </c>
      <c r="I9" s="3">
        <f>ConsolidatedMHrequirementFeb26!G9</f>
        <v/>
      </c>
      <c r="J9" s="41">
        <f>VLOOKUP(A9,ConsolidatedMHrequirementFeb26!$A$4:$K$56,8,FALSE)</f>
        <v/>
      </c>
      <c r="K9" s="3" t="n">
        <v>0</v>
      </c>
      <c r="L9" s="3">
        <f>J9-K9</f>
        <v/>
      </c>
      <c r="M9" s="84">
        <f>ConsolidatedMHrequirementFeb26!I9</f>
        <v/>
      </c>
      <c r="N9" s="69" t="n"/>
      <c r="O9" s="69" t="n"/>
      <c r="P9" s="69" t="n"/>
      <c r="Q9" s="69" t="n"/>
      <c r="R9" s="69" t="n"/>
      <c r="S9" s="69" t="n"/>
      <c r="T9" s="69" t="n"/>
    </row>
    <row r="10" ht="15" customFormat="1" customHeight="1" s="34">
      <c r="A10" s="10" t="inlineStr">
        <is>
          <t>B035</t>
        </is>
      </c>
      <c r="B10" s="3">
        <f>ConsolidatedMHrequirementFeb26!B10</f>
        <v/>
      </c>
      <c r="C10" s="3" t="n"/>
      <c r="D10" s="3" t="n"/>
      <c r="E10" s="3" t="n"/>
      <c r="F10" s="41">
        <f>VLOOKUP(A10,ConsolidatedMHrequirementFeb26!$A$4:$K$55,4,FALSE)</f>
        <v/>
      </c>
      <c r="G10" s="3">
        <f>ConsolidatedMHrequirementFeb26!F10</f>
        <v/>
      </c>
      <c r="H10" s="3">
        <f>ConsolidatedMHrequirementFeb26!E10</f>
        <v/>
      </c>
      <c r="I10" s="3">
        <f>ConsolidatedMHrequirementFeb26!G10</f>
        <v/>
      </c>
      <c r="J10" s="41">
        <f>VLOOKUP(A10,ConsolidatedMHrequirementFeb26!$A$4:$K$56,8,FALSE)</f>
        <v/>
      </c>
      <c r="K10" s="3" t="n">
        <v>0</v>
      </c>
      <c r="L10" s="3">
        <f>J10-K10</f>
        <v/>
      </c>
      <c r="M10" s="84">
        <f>ConsolidatedMHrequirementFeb26!I10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t="16.5" customFormat="1" customHeight="1" s="34">
      <c r="A11" s="10" t="inlineStr">
        <is>
          <t>B038</t>
        </is>
      </c>
      <c r="B11" s="3">
        <f>ConsolidatedMHrequirementFeb26!B11</f>
        <v/>
      </c>
      <c r="C11" s="3" t="n"/>
      <c r="D11" s="3" t="n"/>
      <c r="E11" s="3" t="n"/>
      <c r="F11" s="41">
        <f>VLOOKUP(A11,ConsolidatedMHrequirementFeb26!$A$4:$K$55,4,FALSE)</f>
        <v/>
      </c>
      <c r="G11" s="3">
        <f>ConsolidatedMHrequirementFeb26!F11</f>
        <v/>
      </c>
      <c r="H11" s="3">
        <f>ConsolidatedMHrequirementFeb26!E11</f>
        <v/>
      </c>
      <c r="I11" s="3">
        <f>ConsolidatedMHrequirementFeb26!G11</f>
        <v/>
      </c>
      <c r="J11" s="41">
        <f>VLOOKUP(A11,ConsolidatedMHrequirementFeb26!$A$4:$K$56,8,FALSE)</f>
        <v/>
      </c>
      <c r="K11" s="3" t="n">
        <v>0</v>
      </c>
      <c r="L11" s="3">
        <f>J11-K11</f>
        <v/>
      </c>
      <c r="M11" s="84">
        <f>ConsolidatedMHrequirementFeb26!I11</f>
        <v/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customFormat="1" s="34">
      <c r="A12" s="10" t="inlineStr">
        <is>
          <t>B058</t>
        </is>
      </c>
      <c r="B12" s="3">
        <f>ConsolidatedMHrequirementFeb26!B12</f>
        <v/>
      </c>
      <c r="C12" s="3" t="n"/>
      <c r="D12" s="3" t="n"/>
      <c r="E12" s="3" t="n"/>
      <c r="F12" s="41">
        <f>VLOOKUP(A12,ConsolidatedMHrequirementFeb26!$A$4:$K$55,4,FALSE)</f>
        <v/>
      </c>
      <c r="G12" s="3">
        <f>ConsolidatedMHrequirementFeb26!F12</f>
        <v/>
      </c>
      <c r="H12" s="3">
        <f>ConsolidatedMHrequirementFeb26!E12</f>
        <v/>
      </c>
      <c r="I12" s="3">
        <f>ConsolidatedMHrequirementFeb26!G12</f>
        <v/>
      </c>
      <c r="J12" s="41">
        <f>VLOOKUP(A12,ConsolidatedMHrequirementFeb26!$A$4:$K$56,8,FALSE)</f>
        <v/>
      </c>
      <c r="K12" s="3" t="n">
        <v>0</v>
      </c>
      <c r="L12" s="3">
        <f>J12-K12</f>
        <v/>
      </c>
      <c r="M12" s="69">
        <f>ConsolidatedMHrequirementFeb26!I12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ConsolidatedMHrequirementFeb26!B13</f>
        <v/>
      </c>
      <c r="C13" s="3" t="n"/>
      <c r="D13" s="3" t="n"/>
      <c r="E13" s="3" t="n"/>
      <c r="F13" s="41">
        <f>VLOOKUP(A13,ConsolidatedMHrequirementFeb26!$A$4:$K$55,4,FALSE)</f>
        <v/>
      </c>
      <c r="G13" s="3">
        <f>ConsolidatedMHrequirementFeb26!F13</f>
        <v/>
      </c>
      <c r="H13" s="3">
        <f>ConsolidatedMHrequirementFeb26!E13</f>
        <v/>
      </c>
      <c r="I13" s="3">
        <f>ConsolidatedMHrequirementFeb26!G13</f>
        <v/>
      </c>
      <c r="J13" s="41">
        <f>VLOOKUP(A13,ConsolidatedMHrequirementFeb26!$A$4:$K$56,8,FALSE)</f>
        <v/>
      </c>
      <c r="K13" s="3" t="n">
        <v>0</v>
      </c>
      <c r="L13" s="3">
        <f>J13-K13</f>
        <v/>
      </c>
      <c r="M13" s="69">
        <f>ConsolidatedMHrequirementFeb26!I13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customFormat="1" s="34">
      <c r="A14" s="10" t="inlineStr">
        <is>
          <t>B229</t>
        </is>
      </c>
      <c r="B14" s="3">
        <f>ConsolidatedMHrequirementFeb26!B14</f>
        <v/>
      </c>
      <c r="C14" s="3" t="n"/>
      <c r="D14" s="3" t="n"/>
      <c r="E14" s="3" t="n"/>
      <c r="F14" s="41">
        <f>VLOOKUP(A14,ConsolidatedMHrequirementFeb26!$A$4:$K$55,4,FALSE)</f>
        <v/>
      </c>
      <c r="G14" s="3">
        <f>ConsolidatedMHrequirementFeb26!F14</f>
        <v/>
      </c>
      <c r="H14" s="3">
        <f>ConsolidatedMHrequirementFeb26!E14</f>
        <v/>
      </c>
      <c r="I14" s="3">
        <f>ConsolidatedMHrequirementFeb26!G14</f>
        <v/>
      </c>
      <c r="J14" s="41">
        <f>VLOOKUP(A14,ConsolidatedMHrequirementFeb26!$A$4:$K$56,8,FALSE)</f>
        <v/>
      </c>
      <c r="K14" s="3" t="n">
        <v>0</v>
      </c>
      <c r="L14" s="3">
        <f>J14-K14</f>
        <v/>
      </c>
      <c r="M14" s="69">
        <f>ConsolidatedMHrequirementFeb26!I14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ConsolidatedMHrequirementFeb26!B15</f>
        <v/>
      </c>
      <c r="C15" s="3" t="n"/>
      <c r="D15" s="3" t="n"/>
      <c r="E15" s="3" t="n"/>
      <c r="F15" s="41">
        <f>VLOOKUP(A15,ConsolidatedMHrequirementFeb26!$A$4:$K$55,4,FALSE)</f>
        <v/>
      </c>
      <c r="G15" s="3">
        <f>ConsolidatedMHrequirementFeb26!F15</f>
        <v/>
      </c>
      <c r="H15" s="3">
        <f>ConsolidatedMHrequirementFeb26!E15</f>
        <v/>
      </c>
      <c r="I15" s="3">
        <f>ConsolidatedMHrequirementFeb26!G15</f>
        <v/>
      </c>
      <c r="J15" s="41">
        <f>VLOOKUP(A15,ConsolidatedMHrequirementFeb26!$A$4:$K$56,8,FALSE)</f>
        <v/>
      </c>
      <c r="K15" s="3" t="n">
        <v>0</v>
      </c>
      <c r="L15" s="3">
        <f>J15-K15</f>
        <v/>
      </c>
      <c r="M15" s="69">
        <f>ConsolidatedMHrequirementFeb26!I15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customFormat="1" s="34">
      <c r="A16" s="10" t="inlineStr">
        <is>
          <t>B285</t>
        </is>
      </c>
      <c r="B16" s="3">
        <f>ConsolidatedMHrequirementFeb26!B16</f>
        <v/>
      </c>
      <c r="C16" s="3" t="n"/>
      <c r="D16" s="3" t="n"/>
      <c r="E16" s="3" t="n"/>
      <c r="F16" s="41">
        <f>VLOOKUP(A16,ConsolidatedMHrequirementFeb26!$A$4:$K$55,4,FALSE)</f>
        <v/>
      </c>
      <c r="G16" s="3">
        <f>ConsolidatedMHrequirementFeb26!F16</f>
        <v/>
      </c>
      <c r="H16" s="3">
        <f>ConsolidatedMHrequirementFeb26!E16</f>
        <v/>
      </c>
      <c r="I16" s="3">
        <f>ConsolidatedMHrequirementFeb26!G16</f>
        <v/>
      </c>
      <c r="J16" s="41">
        <f>VLOOKUP(A16,ConsolidatedMHrequirementFeb26!$A$4:$K$56,8,FALSE)</f>
        <v/>
      </c>
      <c r="K16" s="3" t="n">
        <v>0</v>
      </c>
      <c r="L16" s="3">
        <f>J16-K16</f>
        <v/>
      </c>
      <c r="M16" s="69">
        <f>ConsolidatedMHrequirementFeb26!I16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ConsolidatedMHrequirementFeb26!B17</f>
        <v/>
      </c>
      <c r="C17" s="3" t="n"/>
      <c r="D17" s="3" t="n"/>
      <c r="E17" s="3" t="n"/>
      <c r="F17" s="41">
        <f>VLOOKUP(A17,ConsolidatedMHrequirementFeb26!$A$4:$K$55,4,FALSE)</f>
        <v/>
      </c>
      <c r="G17" s="3">
        <f>ConsolidatedMHrequirementFeb26!F17</f>
        <v/>
      </c>
      <c r="H17" s="3">
        <f>ConsolidatedMHrequirementFeb26!E17</f>
        <v/>
      </c>
      <c r="I17" s="3">
        <f>ConsolidatedMHrequirementFeb26!G17</f>
        <v/>
      </c>
      <c r="J17" s="41">
        <f>VLOOKUP(A17,ConsolidatedMHrequirementFeb26!$A$4:$K$56,8,FALSE)</f>
        <v/>
      </c>
      <c r="K17" s="3" t="n">
        <v>0</v>
      </c>
      <c r="L17" s="3">
        <f>J17-K17</f>
        <v/>
      </c>
      <c r="M17" s="69">
        <f>ConsolidatedMHrequirementFeb26!I17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ConsolidatedMHrequirementFeb26!B18</f>
        <v/>
      </c>
      <c r="C18" s="3" t="n"/>
      <c r="D18" s="3" t="n"/>
      <c r="E18" s="3" t="n"/>
      <c r="F18" s="41">
        <f>VLOOKUP(A18,ConsolidatedMHrequirementFeb26!$A$4:$K$55,4,FALSE)</f>
        <v/>
      </c>
      <c r="G18" s="3">
        <f>ConsolidatedMHrequirementFeb26!F18</f>
        <v/>
      </c>
      <c r="H18" s="3">
        <f>ConsolidatedMHrequirementFeb26!E18</f>
        <v/>
      </c>
      <c r="I18" s="3">
        <f>ConsolidatedMHrequirementFeb26!G18</f>
        <v/>
      </c>
      <c r="J18" s="41">
        <f>VLOOKUP(A18,ConsolidatedMHrequirementFeb26!$A$4:$K$56,8,FALSE)</f>
        <v/>
      </c>
      <c r="K18" s="3" t="n">
        <v>0</v>
      </c>
      <c r="L18" s="3">
        <f>J18-K18</f>
        <v/>
      </c>
      <c r="M18" s="69">
        <f>ConsolidatedMHrequirementFeb26!I18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t="15" customFormat="1" customHeight="1" s="34">
      <c r="A19" s="10" t="inlineStr">
        <is>
          <t>B348</t>
        </is>
      </c>
      <c r="B19" s="3">
        <f>ConsolidatedMHrequirementFeb26!B19</f>
        <v/>
      </c>
      <c r="C19" s="3" t="n"/>
      <c r="D19" s="3" t="n"/>
      <c r="E19" s="3" t="n"/>
      <c r="F19" s="41">
        <f>VLOOKUP(A19,ConsolidatedMHrequirementFeb26!$A$4:$K$55,4,FALSE)</f>
        <v/>
      </c>
      <c r="G19" s="3">
        <f>ConsolidatedMHrequirementFeb26!F19</f>
        <v/>
      </c>
      <c r="H19" s="3">
        <f>ConsolidatedMHrequirementFeb26!E19</f>
        <v/>
      </c>
      <c r="I19" s="3">
        <f>ConsolidatedMHrequirementFeb26!G19</f>
        <v/>
      </c>
      <c r="J19" s="41">
        <f>VLOOKUP(A19,ConsolidatedMHrequirementFeb26!$A$4:$K$56,8,FALSE)</f>
        <v/>
      </c>
      <c r="K19" s="3" t="n">
        <v>0</v>
      </c>
      <c r="L19" s="3">
        <f>J19-K19</f>
        <v/>
      </c>
      <c r="M19" s="69">
        <f>ConsolidatedMHrequirementFeb26!I19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t="15.5" customFormat="1" customHeight="1" s="34">
      <c r="A20" s="10" t="inlineStr">
        <is>
          <t>B359</t>
        </is>
      </c>
      <c r="B20" s="3">
        <f>ConsolidatedMHrequirementFeb26!B20</f>
        <v/>
      </c>
      <c r="C20" s="3" t="n"/>
      <c r="D20" s="3" t="n"/>
      <c r="E20" s="3" t="n"/>
      <c r="F20" s="41">
        <f>VLOOKUP(A20,ConsolidatedMHrequirementFeb26!$A$4:$K$55,4,FALSE)</f>
        <v/>
      </c>
      <c r="G20" s="3">
        <f>ConsolidatedMHrequirementFeb26!F20</f>
        <v/>
      </c>
      <c r="H20" s="3">
        <f>ConsolidatedMHrequirementFeb26!E20</f>
        <v/>
      </c>
      <c r="I20" s="3">
        <f>ConsolidatedMHrequirementFeb26!G20</f>
        <v/>
      </c>
      <c r="J20" s="41">
        <f>VLOOKUP(A20,ConsolidatedMHrequirementFeb26!$A$4:$K$56,8,FALSE)</f>
        <v/>
      </c>
      <c r="K20" s="3" t="n">
        <v>0</v>
      </c>
      <c r="L20" s="3">
        <f>J20-K20</f>
        <v/>
      </c>
      <c r="M20" s="69">
        <f>ConsolidatedMHrequirementFeb26!I20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t="15" customFormat="1" customHeight="1" s="34">
      <c r="A21" s="10" t="inlineStr">
        <is>
          <t>B378</t>
        </is>
      </c>
      <c r="B21" s="3">
        <f>ConsolidatedMHrequirementFeb26!B21</f>
        <v/>
      </c>
      <c r="C21" s="3" t="n"/>
      <c r="D21" s="3" t="n"/>
      <c r="E21" s="3" t="n"/>
      <c r="F21" s="41">
        <f>VLOOKUP(A21,ConsolidatedMHrequirementFeb26!$A$4:$K$55,4,FALSE)</f>
        <v/>
      </c>
      <c r="G21" s="3">
        <f>ConsolidatedMHrequirementFeb26!F21</f>
        <v/>
      </c>
      <c r="H21" s="3">
        <f>ConsolidatedMHrequirementFeb26!E21</f>
        <v/>
      </c>
      <c r="I21" s="3">
        <f>ConsolidatedMHrequirementFeb26!G21</f>
        <v/>
      </c>
      <c r="J21" s="41">
        <f>VLOOKUP(A21,ConsolidatedMHrequirementFeb26!$A$4:$K$56,8,FALSE)</f>
        <v/>
      </c>
      <c r="K21" s="3" t="n">
        <v>0</v>
      </c>
      <c r="L21" s="3">
        <f>J21-K21</f>
        <v/>
      </c>
      <c r="M21" s="69">
        <f>ConsolidatedMHrequirementFeb26!I21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B398</t>
        </is>
      </c>
      <c r="B22" s="3">
        <f>ConsolidatedMHrequirementFeb26!B22</f>
        <v/>
      </c>
      <c r="C22" s="3" t="n"/>
      <c r="D22" s="3" t="n"/>
      <c r="E22" s="3" t="n"/>
      <c r="F22" s="41">
        <f>VLOOKUP(A22,ConsolidatedMHrequirementFeb26!$A$4:$K$55,4,FALSE)</f>
        <v/>
      </c>
      <c r="G22" s="3">
        <f>ConsolidatedMHrequirementFeb26!F22</f>
        <v/>
      </c>
      <c r="H22" s="3">
        <f>ConsolidatedMHrequirementFeb26!E22</f>
        <v/>
      </c>
      <c r="I22" s="3">
        <f>ConsolidatedMHrequirementFeb26!G22</f>
        <v/>
      </c>
      <c r="J22" s="41">
        <f>VLOOKUP(A22,ConsolidatedMHrequirementFeb26!$A$4:$K$56,8,FALSE)</f>
        <v/>
      </c>
      <c r="K22" s="3" t="n">
        <v>0</v>
      </c>
      <c r="L22" s="3">
        <f>J22-K22</f>
        <v/>
      </c>
      <c r="M22" s="69">
        <f>ConsolidatedMHrequirementFeb26!I22</f>
        <v/>
      </c>
      <c r="N22" s="69" t="n"/>
      <c r="O22" s="69" t="n"/>
      <c r="P22" s="69" t="n"/>
      <c r="Q22" s="69" t="n"/>
      <c r="R22" s="69" t="n"/>
      <c r="S22" s="69" t="n"/>
      <c r="T22" s="69" t="n"/>
    </row>
    <row r="23" ht="15" customFormat="1" customHeight="1" s="34">
      <c r="A23" s="10" t="inlineStr">
        <is>
          <t>B411</t>
        </is>
      </c>
      <c r="B23" s="3">
        <f>ConsolidatedMHrequirementFeb26!B23</f>
        <v/>
      </c>
      <c r="C23" s="3" t="n"/>
      <c r="D23" s="3" t="n"/>
      <c r="E23" s="3" t="n"/>
      <c r="F23" s="41">
        <f>VLOOKUP(A23,ConsolidatedMHrequirementFeb26!$A$4:$K$55,4,FALSE)</f>
        <v/>
      </c>
      <c r="G23" s="3">
        <f>ConsolidatedMHrequirementFeb26!F23</f>
        <v/>
      </c>
      <c r="H23" s="3">
        <f>ConsolidatedMHrequirementFeb26!E23</f>
        <v/>
      </c>
      <c r="I23" s="3">
        <f>ConsolidatedMHrequirementFeb26!G23</f>
        <v/>
      </c>
      <c r="J23" s="41">
        <f>VLOOKUP(A23,ConsolidatedMHrequirementFeb26!$A$4:$K$56,8,FALSE)</f>
        <v/>
      </c>
      <c r="K23" s="3" t="n">
        <v>0</v>
      </c>
      <c r="L23" s="3">
        <f>J23-K23</f>
        <v/>
      </c>
      <c r="M23" s="69">
        <f>ConsolidatedMHrequirementFeb26!I23</f>
        <v/>
      </c>
      <c r="N23" s="69" t="n"/>
      <c r="O23" s="69" t="n"/>
      <c r="P23" s="69" t="n"/>
      <c r="Q23" s="69" t="n"/>
      <c r="R23" s="69" t="n"/>
      <c r="S23" s="69" t="n"/>
      <c r="T23" s="69" t="n"/>
    </row>
    <row r="24" ht="15" customFormat="1" customHeight="1" s="34">
      <c r="A24" s="10" t="inlineStr">
        <is>
          <t>B414</t>
        </is>
      </c>
      <c r="B24" s="3">
        <f>ConsolidatedMHrequirementFeb26!B24</f>
        <v/>
      </c>
      <c r="C24" s="3" t="n"/>
      <c r="D24" s="3" t="n"/>
      <c r="E24" s="3" t="n"/>
      <c r="F24" s="41">
        <f>VLOOKUP(A24,ConsolidatedMHrequirementFeb26!$A$4:$K$55,4,FALSE)</f>
        <v/>
      </c>
      <c r="G24" s="3">
        <f>ConsolidatedMHrequirementFeb26!F24</f>
        <v/>
      </c>
      <c r="H24" s="3">
        <f>ConsolidatedMHrequirementFeb26!E24</f>
        <v/>
      </c>
      <c r="I24" s="3">
        <f>ConsolidatedMHrequirementFeb26!G24</f>
        <v/>
      </c>
      <c r="J24" s="41">
        <f>VLOOKUP(A24,ConsolidatedMHrequirementFeb26!$A$4:$K$56,8,FALSE)</f>
        <v/>
      </c>
      <c r="K24" s="3" t="n">
        <v>0</v>
      </c>
      <c r="L24" s="3">
        <f>J24-K24</f>
        <v/>
      </c>
      <c r="M24" s="69">
        <f>ConsolidatedMHrequirementFeb26!I24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t="15" customFormat="1" customHeight="1" s="34">
      <c r="A25" s="10" t="inlineStr">
        <is>
          <t>B436</t>
        </is>
      </c>
      <c r="B25" s="3">
        <f>ConsolidatedMHrequirementFeb26!B25</f>
        <v/>
      </c>
      <c r="C25" s="3" t="n"/>
      <c r="D25" s="3" t="n"/>
      <c r="E25" s="3" t="n"/>
      <c r="F25" s="41">
        <f>VLOOKUP(A25,ConsolidatedMHrequirementFeb26!$A$4:$K$55,4,FALSE)</f>
        <v/>
      </c>
      <c r="G25" s="3">
        <f>ConsolidatedMHrequirementFeb26!F25</f>
        <v/>
      </c>
      <c r="H25" s="3">
        <f>ConsolidatedMHrequirementFeb26!E25</f>
        <v/>
      </c>
      <c r="I25" s="3">
        <f>ConsolidatedMHrequirementFeb26!G25</f>
        <v/>
      </c>
      <c r="J25" s="41">
        <f>VLOOKUP(A25,ConsolidatedMHrequirementFeb26!$A$4:$K$56,8,FALSE)</f>
        <v/>
      </c>
      <c r="K25" s="3" t="n">
        <v>0</v>
      </c>
      <c r="L25" s="3">
        <f>J25-K25</f>
        <v/>
      </c>
      <c r="M25" s="69">
        <f>ConsolidatedMHrequirementFeb26!I25</f>
        <v/>
      </c>
      <c r="N25" s="69" t="n"/>
      <c r="O25" s="69" t="n"/>
      <c r="P25" s="69" t="n"/>
      <c r="Q25" s="69" t="n"/>
      <c r="R25" s="69" t="n"/>
      <c r="S25" s="69" t="n"/>
      <c r="T25" s="69" t="n"/>
      <c r="V25" s="48" t="n"/>
      <c r="W25" s="48" t="n"/>
      <c r="X25" s="48" t="n"/>
      <c r="Y25" s="48" t="n"/>
    </row>
    <row r="26" ht="15" customFormat="1" customHeight="1" s="34">
      <c r="A26" s="10" t="inlineStr">
        <is>
          <t>B440</t>
        </is>
      </c>
      <c r="B26" s="3">
        <f>ConsolidatedMHrequirementFeb26!B26</f>
        <v/>
      </c>
      <c r="C26" s="3" t="n"/>
      <c r="D26" s="3" t="n"/>
      <c r="E26" s="3" t="n"/>
      <c r="F26" s="41">
        <f>VLOOKUP(A26,ConsolidatedMHrequirementFeb26!$A$4:$K$55,4,FALSE)</f>
        <v/>
      </c>
      <c r="G26" s="3">
        <f>ConsolidatedMHrequirementFeb26!F26</f>
        <v/>
      </c>
      <c r="H26" s="3">
        <f>ConsolidatedMHrequirementFeb26!E26</f>
        <v/>
      </c>
      <c r="I26" s="3">
        <f>ConsolidatedMHrequirementFeb26!G26</f>
        <v/>
      </c>
      <c r="J26" s="41">
        <f>VLOOKUP(A26,ConsolidatedMHrequirementFeb26!$A$4:$K$56,8,FALSE)</f>
        <v/>
      </c>
      <c r="K26" s="3" t="n">
        <v>0</v>
      </c>
      <c r="L26" s="3">
        <f>J26-K26</f>
        <v/>
      </c>
      <c r="M26" s="69">
        <f>ConsolidatedMHrequirementFeb26!I26</f>
        <v/>
      </c>
      <c r="N26" s="69" t="n"/>
      <c r="O26" s="69" t="n"/>
      <c r="P26" s="69" t="n"/>
      <c r="Q26" s="69" t="n"/>
      <c r="R26" s="69" t="n"/>
      <c r="S26" s="69" t="n"/>
      <c r="T26" s="69" t="n"/>
      <c r="V26" s="48" t="n"/>
      <c r="W26" s="48" t="n"/>
      <c r="X26" s="48" t="n"/>
      <c r="Y26" s="48" t="n"/>
    </row>
    <row r="27" ht="15" customFormat="1" customHeight="1" s="34">
      <c r="A27" s="10" t="inlineStr">
        <is>
          <t>B448</t>
        </is>
      </c>
      <c r="B27" s="3">
        <f>ConsolidatedMHrequirementFeb26!B27</f>
        <v/>
      </c>
      <c r="C27" s="3" t="n"/>
      <c r="D27" s="3" t="n"/>
      <c r="E27" s="3" t="n"/>
      <c r="F27" s="41">
        <f>VLOOKUP(A27,ConsolidatedMHrequirementFeb26!$A$4:$K$55,4,FALSE)</f>
        <v/>
      </c>
      <c r="G27" s="3">
        <f>ConsolidatedMHrequirementFeb26!F27</f>
        <v/>
      </c>
      <c r="H27" s="3">
        <f>ConsolidatedMHrequirementFeb26!E27</f>
        <v/>
      </c>
      <c r="I27" s="3">
        <f>ConsolidatedMHrequirementFeb26!G27</f>
        <v/>
      </c>
      <c r="J27" s="41">
        <f>VLOOKUP(A27,ConsolidatedMHrequirementFeb26!$A$4:$K$56,8,FALSE)</f>
        <v/>
      </c>
      <c r="K27" s="3" t="n">
        <v>0</v>
      </c>
      <c r="L27" s="3">
        <f>J27-K27</f>
        <v/>
      </c>
      <c r="M27" s="69">
        <f>ConsolidatedMHrequirementFeb26!I27</f>
        <v/>
      </c>
      <c r="N27" s="69" t="n"/>
      <c r="O27" s="69" t="n"/>
      <c r="P27" s="69" t="n"/>
      <c r="Q27" s="69" t="n"/>
      <c r="R27" s="69" t="n"/>
      <c r="S27" s="69" t="n"/>
      <c r="T27" s="69" t="n"/>
      <c r="V27" s="34" t="inlineStr">
        <is>
          <t xml:space="preserve"> </t>
        </is>
      </c>
      <c r="W27" s="34" t="inlineStr">
        <is>
          <t xml:space="preserve"> </t>
        </is>
      </c>
      <c r="X27" s="34" t="inlineStr">
        <is>
          <t xml:space="preserve"> </t>
        </is>
      </c>
      <c r="Y27" s="34" t="inlineStr">
        <is>
          <t xml:space="preserve"> </t>
        </is>
      </c>
    </row>
    <row r="28" ht="15" customFormat="1" customHeight="1" s="34">
      <c r="A28" s="10" t="inlineStr">
        <is>
          <t>B519</t>
        </is>
      </c>
      <c r="B28" s="3">
        <f>ConsolidatedMHrequirementFeb26!B28</f>
        <v/>
      </c>
      <c r="C28" s="3" t="n"/>
      <c r="D28" s="3" t="n"/>
      <c r="E28" s="3" t="n"/>
      <c r="F28" s="41">
        <f>VLOOKUP(A28,ConsolidatedMHrequirementFeb26!$A$4:$K$55,4,FALSE)</f>
        <v/>
      </c>
      <c r="G28" s="3">
        <f>ConsolidatedMHrequirementFeb26!F28</f>
        <v/>
      </c>
      <c r="H28" s="3">
        <f>ConsolidatedMHrequirementFeb26!E28</f>
        <v/>
      </c>
      <c r="I28" s="3">
        <f>ConsolidatedMHrequirementFeb26!G28</f>
        <v/>
      </c>
      <c r="J28" s="41">
        <f>VLOOKUP(A28,ConsolidatedMHrequirementFeb26!$A$4:$K$56,8,FALSE)</f>
        <v/>
      </c>
      <c r="K28" s="3" t="n">
        <v>0</v>
      </c>
      <c r="L28" s="3">
        <f>J28-K28</f>
        <v/>
      </c>
      <c r="M28" s="69">
        <f>ConsolidatedMHrequirementFeb26!I28</f>
        <v/>
      </c>
      <c r="N28" s="69" t="n"/>
      <c r="O28" s="69" t="n"/>
      <c r="P28" s="69" t="n"/>
      <c r="Q28" s="69" t="n"/>
      <c r="R28" s="69" t="n"/>
      <c r="S28" s="69" t="n"/>
      <c r="T28" s="69" t="n"/>
      <c r="V28" s="34" t="inlineStr">
        <is>
          <t xml:space="preserve"> </t>
        </is>
      </c>
      <c r="W28" s="34" t="inlineStr">
        <is>
          <t xml:space="preserve"> </t>
        </is>
      </c>
    </row>
    <row r="29">
      <c r="A29" s="10" t="inlineStr">
        <is>
          <t>B548</t>
        </is>
      </c>
      <c r="B29" s="3">
        <f>ConsolidatedMHrequirementFeb26!B29</f>
        <v/>
      </c>
      <c r="C29" s="3" t="n"/>
      <c r="D29" s="3" t="n"/>
      <c r="E29" s="3" t="n"/>
      <c r="F29" s="41">
        <f>VLOOKUP(A29,ConsolidatedMHrequirementFeb26!$A$4:$K$55,4,FALSE)</f>
        <v/>
      </c>
      <c r="G29" s="3">
        <f>ConsolidatedMHrequirementFeb26!F29</f>
        <v/>
      </c>
      <c r="H29" s="3">
        <f>ConsolidatedMHrequirementFeb26!E29</f>
        <v/>
      </c>
      <c r="I29" s="3">
        <f>ConsolidatedMHrequirementFeb26!G29</f>
        <v/>
      </c>
      <c r="J29" s="41">
        <f>VLOOKUP(A29,ConsolidatedMHrequirementFeb26!$A$4:$K$56,8,FALSE)</f>
        <v/>
      </c>
      <c r="K29" s="3" t="n">
        <v>0</v>
      </c>
      <c r="L29" s="3">
        <f>J29-K29</f>
        <v/>
      </c>
      <c r="M29" s="69">
        <f>ConsolidatedMHrequirementFeb26!I29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t="15" customFormat="1" customHeight="1" s="34">
      <c r="A30" s="10" t="inlineStr">
        <is>
          <t>B559</t>
        </is>
      </c>
      <c r="B30" s="3">
        <f>ConsolidatedMHrequirementFeb26!B30</f>
        <v/>
      </c>
      <c r="C30" s="3" t="n"/>
      <c r="D30" s="3" t="n"/>
      <c r="E30" s="3" t="n"/>
      <c r="F30" s="41">
        <f>VLOOKUP(A30,ConsolidatedMHrequirementFeb26!$A$4:$K$55,4,FALSE)</f>
        <v/>
      </c>
      <c r="G30" s="3">
        <f>ConsolidatedMHrequirementFeb26!F30</f>
        <v/>
      </c>
      <c r="H30" s="3">
        <f>ConsolidatedMHrequirementFeb26!E30</f>
        <v/>
      </c>
      <c r="I30" s="3">
        <f>ConsolidatedMHrequirementFeb26!G30</f>
        <v/>
      </c>
      <c r="J30" s="41">
        <f>VLOOKUP(A30,ConsolidatedMHrequirementFeb26!$A$4:$K$56,8,FALSE)</f>
        <v/>
      </c>
      <c r="K30" s="3" t="n">
        <v>0</v>
      </c>
      <c r="L30" s="3">
        <f>J30-K30</f>
        <v/>
      </c>
      <c r="M30" s="69">
        <f>ConsolidatedMHrequirementFeb26!I30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t="15" customFormat="1" customHeight="1" s="34">
      <c r="A31" s="10" t="inlineStr">
        <is>
          <t>B560</t>
        </is>
      </c>
      <c r="B31" s="3">
        <f>ConsolidatedMHrequirementFeb26!B31</f>
        <v/>
      </c>
      <c r="C31" s="3" t="n"/>
      <c r="D31" s="3" t="n"/>
      <c r="E31" s="3" t="n"/>
      <c r="F31" s="41">
        <f>VLOOKUP(A31,ConsolidatedMHrequirementFeb26!$A$4:$K$55,4,FALSE)</f>
        <v/>
      </c>
      <c r="G31" s="3">
        <f>ConsolidatedMHrequirementFeb26!F31</f>
        <v/>
      </c>
      <c r="H31" s="3">
        <f>ConsolidatedMHrequirementFeb26!E31</f>
        <v/>
      </c>
      <c r="I31" s="3">
        <f>ConsolidatedMHrequirementFeb26!G31</f>
        <v/>
      </c>
      <c r="J31" s="41">
        <f>VLOOKUP(A31,ConsolidatedMHrequirementFeb26!$A$4:$K$56,8,FALSE)</f>
        <v/>
      </c>
      <c r="K31" s="3" t="n">
        <v>0</v>
      </c>
      <c r="L31" s="3">
        <f>J31-K31</f>
        <v/>
      </c>
      <c r="M31" s="69">
        <f>ConsolidatedMHrequirementFeb26!I31</f>
        <v/>
      </c>
      <c r="N31" s="69" t="n"/>
      <c r="O31" s="69" t="n"/>
      <c r="P31" s="69" t="n"/>
      <c r="Q31" s="69" t="n"/>
      <c r="R31" s="69" t="n"/>
      <c r="S31" s="69" t="n"/>
      <c r="T31" s="69" t="n"/>
    </row>
    <row r="32" ht="15" customFormat="1" customHeight="1" s="34">
      <c r="A32" s="10" t="inlineStr">
        <is>
          <t>B571</t>
        </is>
      </c>
      <c r="B32" s="3">
        <f>ConsolidatedMHrequirementFeb26!B32</f>
        <v/>
      </c>
      <c r="C32" s="3" t="n"/>
      <c r="D32" s="3" t="n"/>
      <c r="E32" s="3" t="n"/>
      <c r="F32" s="41">
        <f>VLOOKUP(A32,ConsolidatedMHrequirementFeb26!$A$4:$K$55,4,FALSE)</f>
        <v/>
      </c>
      <c r="G32" s="3">
        <f>ConsolidatedMHrequirementFeb26!F32</f>
        <v/>
      </c>
      <c r="H32" s="3">
        <f>ConsolidatedMHrequirementFeb26!E32</f>
        <v/>
      </c>
      <c r="I32" s="3">
        <f>ConsolidatedMHrequirementFeb26!G32</f>
        <v/>
      </c>
      <c r="J32" s="41">
        <f>VLOOKUP(A32,ConsolidatedMHrequirementFeb26!$A$4:$K$56,8,FALSE)</f>
        <v/>
      </c>
      <c r="K32" s="3" t="n">
        <v>0</v>
      </c>
      <c r="L32" s="3">
        <f>J32-K32</f>
        <v/>
      </c>
      <c r="M32" s="69">
        <f>ConsolidatedMHrequirementFeb26!I32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>
      <c r="A33" s="10" t="inlineStr">
        <is>
          <t>B589</t>
        </is>
      </c>
      <c r="B33" s="3">
        <f>ConsolidatedMHrequirementFeb26!B33</f>
        <v/>
      </c>
      <c r="C33" s="3" t="n"/>
      <c r="D33" s="3" t="n"/>
      <c r="E33" s="3" t="n"/>
      <c r="F33" s="41">
        <f>VLOOKUP(A33,ConsolidatedMHrequirementFeb26!$A$4:$K$55,4,FALSE)</f>
        <v/>
      </c>
      <c r="G33" s="3">
        <f>ConsolidatedMHrequirementFeb26!F33</f>
        <v/>
      </c>
      <c r="H33" s="3">
        <f>ConsolidatedMHrequirementFeb26!E33</f>
        <v/>
      </c>
      <c r="I33" s="3">
        <f>ConsolidatedMHrequirementFeb26!G33</f>
        <v/>
      </c>
      <c r="J33" s="41">
        <f>VLOOKUP(A33,ConsolidatedMHrequirementFeb26!$A$4:$K$56,8,FALSE)</f>
        <v/>
      </c>
      <c r="K33" s="3" t="n">
        <v>0</v>
      </c>
      <c r="L33" s="3">
        <f>J33-K33</f>
        <v/>
      </c>
      <c r="M33" s="69">
        <f>ConsolidatedMHrequirementFeb26!I33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customFormat="1" s="34">
      <c r="A34" s="10" t="inlineStr">
        <is>
          <t>B650</t>
        </is>
      </c>
      <c r="B34" s="3">
        <f>ConsolidatedMHrequirementFeb26!B34</f>
        <v/>
      </c>
      <c r="C34" s="3" t="n"/>
      <c r="D34" s="3" t="n"/>
      <c r="E34" s="3" t="n"/>
      <c r="F34" s="41">
        <f>VLOOKUP(A34,ConsolidatedMHrequirementFeb26!$A$4:$K$55,4,FALSE)</f>
        <v/>
      </c>
      <c r="G34" s="3">
        <f>ConsolidatedMHrequirementFeb26!F34</f>
        <v/>
      </c>
      <c r="H34" s="3">
        <f>ConsolidatedMHrequirementFeb26!E34</f>
        <v/>
      </c>
      <c r="I34" s="3">
        <f>ConsolidatedMHrequirementFeb26!G34</f>
        <v/>
      </c>
      <c r="J34" s="41">
        <f>VLOOKUP(A34,ConsolidatedMHrequirementFeb26!$A$4:$K$56,8,FALSE)</f>
        <v/>
      </c>
      <c r="K34" s="3" t="n">
        <v>0</v>
      </c>
      <c r="L34" s="3">
        <f>J34-K34</f>
        <v/>
      </c>
      <c r="M34" s="69">
        <f>ConsolidatedMHrequirementFeb26!I34</f>
        <v/>
      </c>
      <c r="N34" s="69" t="n"/>
      <c r="O34" s="69" t="n"/>
      <c r="P34" s="69" t="n"/>
      <c r="Q34" s="69" t="n"/>
      <c r="R34" s="69" t="n"/>
      <c r="S34" s="69" t="n"/>
      <c r="T34" s="69" t="n"/>
      <c r="X34" s="34" t="inlineStr">
        <is>
          <t xml:space="preserve"> </t>
        </is>
      </c>
    </row>
    <row r="35" ht="15" customFormat="1" customHeight="1" s="34">
      <c r="A35" s="10" t="inlineStr">
        <is>
          <t>B653</t>
        </is>
      </c>
      <c r="B35" s="3">
        <f>ConsolidatedMHrequirementFeb26!B35</f>
        <v/>
      </c>
      <c r="C35" s="3" t="n"/>
      <c r="D35" s="3" t="n"/>
      <c r="E35" s="3" t="n"/>
      <c r="F35" s="41">
        <f>VLOOKUP(A35,ConsolidatedMHrequirementFeb26!$A$4:$K$55,4,FALSE)</f>
        <v/>
      </c>
      <c r="G35" s="3">
        <f>ConsolidatedMHrequirementFeb26!F35</f>
        <v/>
      </c>
      <c r="H35" s="3">
        <f>ConsolidatedMHrequirementFeb26!E35</f>
        <v/>
      </c>
      <c r="I35" s="3">
        <f>ConsolidatedMHrequirementFeb26!G35</f>
        <v/>
      </c>
      <c r="J35" s="41">
        <f>VLOOKUP(A35,ConsolidatedMHrequirementFeb26!$A$4:$K$56,8,FALSE)</f>
        <v/>
      </c>
      <c r="K35" s="3" t="n">
        <v>0</v>
      </c>
      <c r="L35" s="3">
        <f>J35-K35</f>
        <v/>
      </c>
      <c r="M35" s="69">
        <f>ConsolidatedMHrequirementFeb26!I35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t="14.5" customFormat="1" customHeight="1" s="34">
      <c r="A36" s="10" t="inlineStr">
        <is>
          <t>B725</t>
        </is>
      </c>
      <c r="B36" s="3">
        <f>ConsolidatedMHrequirementFeb26!B36</f>
        <v/>
      </c>
      <c r="C36" s="3" t="n"/>
      <c r="D36" s="3" t="n"/>
      <c r="E36" s="3" t="n"/>
      <c r="F36" s="41">
        <f>VLOOKUP(A36,ConsolidatedMHrequirementFeb26!$A$4:$K$55,4,FALSE)</f>
        <v/>
      </c>
      <c r="G36" s="3">
        <f>ConsolidatedMHrequirementFeb26!F36</f>
        <v/>
      </c>
      <c r="H36" s="3">
        <f>ConsolidatedMHrequirementFeb26!E36</f>
        <v/>
      </c>
      <c r="I36" s="3">
        <f>ConsolidatedMHrequirementFeb26!G36</f>
        <v/>
      </c>
      <c r="J36" s="41">
        <f>VLOOKUP(A36,ConsolidatedMHrequirementFeb26!$A$4:$K$56,8,FALSE)</f>
        <v/>
      </c>
      <c r="K36" s="3" t="n">
        <v>0</v>
      </c>
      <c r="L36" s="3">
        <f>J36-K36</f>
        <v/>
      </c>
      <c r="M36" s="69">
        <f>ConsolidatedMHrequirementFeb26!I36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t="14.5" customFormat="1" customHeight="1" s="34">
      <c r="A37" s="10" t="inlineStr">
        <is>
          <t>B767</t>
        </is>
      </c>
      <c r="B37" s="3">
        <f>ConsolidatedMHrequirementFeb26!B37</f>
        <v/>
      </c>
      <c r="C37" s="3" t="n"/>
      <c r="D37" s="3" t="n"/>
      <c r="E37" s="3" t="n"/>
      <c r="F37" s="41">
        <f>VLOOKUP(A37,ConsolidatedMHrequirementFeb26!$A$4:$K$55,4,FALSE)</f>
        <v/>
      </c>
      <c r="G37" s="3">
        <f>ConsolidatedMHrequirementFeb26!F37</f>
        <v/>
      </c>
      <c r="H37" s="3">
        <f>ConsolidatedMHrequirementFeb26!E37</f>
        <v/>
      </c>
      <c r="I37" s="3">
        <f>ConsolidatedMHrequirementFeb26!G37</f>
        <v/>
      </c>
      <c r="J37" s="41">
        <f>VLOOKUP(A37,ConsolidatedMHrequirementFeb26!$A$4:$K$56,8,FALSE)</f>
        <v/>
      </c>
      <c r="K37" s="3" t="n">
        <v>0</v>
      </c>
      <c r="L37" s="3">
        <f>J37-K37</f>
        <v/>
      </c>
      <c r="M37" s="69">
        <f>ConsolidatedMHrequirementFeb26!I37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t="14.5" customFormat="1" customHeight="1" s="34">
      <c r="A38" s="10" t="inlineStr">
        <is>
          <t>B795</t>
        </is>
      </c>
      <c r="B38" s="3">
        <f>ConsolidatedMHrequirementFeb26!B38</f>
        <v/>
      </c>
      <c r="C38" s="3" t="n"/>
      <c r="D38" s="3" t="n"/>
      <c r="E38" s="3" t="n"/>
      <c r="F38" s="41">
        <f>VLOOKUP(A38,ConsolidatedMHrequirementFeb26!$A$4:$K$55,4,FALSE)</f>
        <v/>
      </c>
      <c r="G38" s="3">
        <f>ConsolidatedMHrequirementFeb26!F38</f>
        <v/>
      </c>
      <c r="H38" s="3">
        <f>ConsolidatedMHrequirementFeb26!E38</f>
        <v/>
      </c>
      <c r="I38" s="3">
        <f>ConsolidatedMHrequirementFeb26!G38</f>
        <v/>
      </c>
      <c r="J38" s="41">
        <f>VLOOKUP(A38,ConsolidatedMHrequirementFeb26!$A$4:$K$56,8,FALSE)</f>
        <v/>
      </c>
      <c r="K38" s="3" t="n">
        <v>0</v>
      </c>
      <c r="L38" s="3">
        <f>J38-K38</f>
        <v/>
      </c>
      <c r="M38" s="69">
        <f>ConsolidatedMHrequirementFeb26!I38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t="14.5" customFormat="1" customHeight="1" s="34">
      <c r="A39" s="10" t="inlineStr">
        <is>
          <t>B813</t>
        </is>
      </c>
      <c r="B39" s="3">
        <f>ConsolidatedMHrequirementFeb26!B39</f>
        <v/>
      </c>
      <c r="C39" s="3" t="n"/>
      <c r="D39" s="3" t="n"/>
      <c r="E39" s="3" t="n"/>
      <c r="F39" s="41">
        <f>VLOOKUP(A39,ConsolidatedMHrequirementFeb26!$A$4:$K$55,4,FALSE)</f>
        <v/>
      </c>
      <c r="G39" s="3">
        <f>ConsolidatedMHrequirementFeb26!F39</f>
        <v/>
      </c>
      <c r="H39" s="3">
        <f>ConsolidatedMHrequirementFeb26!E39</f>
        <v/>
      </c>
      <c r="I39" s="3">
        <f>ConsolidatedMHrequirementFeb26!G39</f>
        <v/>
      </c>
      <c r="J39" s="41">
        <f>VLOOKUP(A39,ConsolidatedMHrequirementFeb26!$A$4:$K$56,8,FALSE)</f>
        <v/>
      </c>
      <c r="K39" s="3" t="n">
        <v>0</v>
      </c>
      <c r="L39" s="3">
        <f>J39-K39</f>
        <v/>
      </c>
      <c r="M39" s="69">
        <f>ConsolidatedMHrequirementFeb26!I39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t="14.5" customFormat="1" customHeight="1" s="34">
      <c r="A40" s="10" t="inlineStr">
        <is>
          <t>B860</t>
        </is>
      </c>
      <c r="B40" s="3">
        <f>ConsolidatedMHrequirementFeb26!B40</f>
        <v/>
      </c>
      <c r="C40" s="3" t="n"/>
      <c r="D40" s="3" t="n"/>
      <c r="E40" s="3" t="n"/>
      <c r="F40" s="41">
        <f>VLOOKUP(A40,ConsolidatedMHrequirementFeb26!$A$4:$K$55,4,FALSE)</f>
        <v/>
      </c>
      <c r="G40" s="3">
        <f>ConsolidatedMHrequirementFeb26!F40</f>
        <v/>
      </c>
      <c r="H40" s="3">
        <f>ConsolidatedMHrequirementFeb26!E40</f>
        <v/>
      </c>
      <c r="I40" s="3">
        <f>ConsolidatedMHrequirementFeb26!G40</f>
        <v/>
      </c>
      <c r="J40" s="41">
        <f>VLOOKUP(A40,ConsolidatedMHrequirementFeb26!$A$4:$K$56,8,FALSE)</f>
        <v/>
      </c>
      <c r="K40" s="3" t="n">
        <v>0</v>
      </c>
      <c r="L40" s="3">
        <f>J40-K40</f>
        <v/>
      </c>
      <c r="M40" s="69">
        <f>ConsolidatedMHrequirementFeb26!I40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t="14.5" customFormat="1" customHeight="1" s="34">
      <c r="A41" s="10" t="inlineStr">
        <is>
          <t>B861</t>
        </is>
      </c>
      <c r="B41" s="3">
        <f>ConsolidatedMHrequirementFeb26!B41</f>
        <v/>
      </c>
      <c r="C41" s="3" t="n"/>
      <c r="D41" s="3" t="n"/>
      <c r="E41" s="3" t="n"/>
      <c r="F41" s="41">
        <f>VLOOKUP(A41,ConsolidatedMHrequirementFeb26!$A$4:$K$55,4,FALSE)</f>
        <v/>
      </c>
      <c r="G41" s="3">
        <f>ConsolidatedMHrequirementFeb26!F41</f>
        <v/>
      </c>
      <c r="H41" s="3">
        <f>ConsolidatedMHrequirementFeb26!E41</f>
        <v/>
      </c>
      <c r="I41" s="3">
        <f>ConsolidatedMHrequirementFeb26!G41</f>
        <v/>
      </c>
      <c r="J41" s="41">
        <f>VLOOKUP(A41,ConsolidatedMHrequirementFeb26!$A$4:$K$56,8,FALSE)</f>
        <v/>
      </c>
      <c r="K41" s="3" t="n">
        <v>0</v>
      </c>
      <c r="L41" s="3">
        <f>J41-K41</f>
        <v/>
      </c>
      <c r="M41" s="69">
        <f>ConsolidatedMHrequirementFeb26!I41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t="22" customFormat="1" customHeight="1" s="34">
      <c r="A42" s="10" t="inlineStr">
        <is>
          <t>B862</t>
        </is>
      </c>
      <c r="B42" s="3">
        <f>ConsolidatedMHrequirementFeb26!B42</f>
        <v/>
      </c>
      <c r="C42" s="3" t="n"/>
      <c r="D42" s="3" t="n"/>
      <c r="E42" s="3" t="n"/>
      <c r="F42" s="41">
        <f>VLOOKUP(A42,ConsolidatedMHrequirementFeb26!$A$4:$K$55,4,FALSE)</f>
        <v/>
      </c>
      <c r="G42" s="3">
        <f>ConsolidatedMHrequirementFeb26!F42</f>
        <v/>
      </c>
      <c r="H42" s="3">
        <f>ConsolidatedMHrequirementFeb26!E42</f>
        <v/>
      </c>
      <c r="I42" s="3">
        <f>ConsolidatedMHrequirementFeb26!G42</f>
        <v/>
      </c>
      <c r="J42" s="41">
        <f>VLOOKUP(A42,ConsolidatedMHrequirementFeb26!$A$4:$K$56,8,FALSE)</f>
        <v/>
      </c>
      <c r="K42" s="3" t="n">
        <v>0</v>
      </c>
      <c r="L42" s="3">
        <f>J42-K42</f>
        <v/>
      </c>
      <c r="M42" s="69">
        <f>ConsolidatedMHrequirementFeb26!I42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t="19" customFormat="1" customHeight="1" s="34">
      <c r="A43" s="10" t="inlineStr">
        <is>
          <t>B865</t>
        </is>
      </c>
      <c r="B43" s="3">
        <f>ConsolidatedMHrequirementFeb26!B43</f>
        <v/>
      </c>
      <c r="C43" s="3" t="n"/>
      <c r="D43" s="3" t="n"/>
      <c r="E43" s="3" t="n"/>
      <c r="F43" s="41">
        <f>VLOOKUP(A43,ConsolidatedMHrequirementFeb26!$A$4:$K$55,4,FALSE)</f>
        <v/>
      </c>
      <c r="G43" s="3">
        <f>ConsolidatedMHrequirementFeb26!F43</f>
        <v/>
      </c>
      <c r="H43" s="3">
        <f>ConsolidatedMHrequirementFeb26!E43</f>
        <v/>
      </c>
      <c r="I43" s="3">
        <f>ConsolidatedMHrequirementFeb26!G43</f>
        <v/>
      </c>
      <c r="J43" s="41">
        <f>VLOOKUP(A43,ConsolidatedMHrequirementFeb26!$A$4:$K$56,8,FALSE)</f>
        <v/>
      </c>
      <c r="K43" s="3" t="n">
        <v>0</v>
      </c>
      <c r="L43" s="3">
        <f>J43-K43</f>
        <v/>
      </c>
      <c r="M43" s="69">
        <f>ConsolidatedMHrequirementFeb26!I43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t="19" customFormat="1" customHeight="1" s="34">
      <c r="A44" s="10" t="inlineStr">
        <is>
          <t>B889</t>
        </is>
      </c>
      <c r="B44" s="3">
        <f>ConsolidatedMHrequirementFeb26!B44</f>
        <v/>
      </c>
      <c r="C44" s="3" t="n"/>
      <c r="D44" s="3" t="n"/>
      <c r="E44" s="3" t="n"/>
      <c r="F44" s="41">
        <f>VLOOKUP(A44,ConsolidatedMHrequirementFeb26!$A$4:$K$55,4,FALSE)</f>
        <v/>
      </c>
      <c r="G44" s="3">
        <f>ConsolidatedMHrequirementFeb26!F44</f>
        <v/>
      </c>
      <c r="H44" s="3">
        <f>ConsolidatedMHrequirementFeb26!E44</f>
        <v/>
      </c>
      <c r="I44" s="3">
        <f>ConsolidatedMHrequirementFeb26!G44</f>
        <v/>
      </c>
      <c r="J44" s="41">
        <f>VLOOKUP(A44,ConsolidatedMHrequirementFeb26!$A$4:$K$56,8,FALSE)</f>
        <v/>
      </c>
      <c r="K44" s="3" t="n">
        <v>0</v>
      </c>
      <c r="L44" s="3">
        <f>J44-K44</f>
        <v/>
      </c>
      <c r="M44" s="69">
        <f>ConsolidatedMHrequirementFeb26!I44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t="19" customFormat="1" customHeight="1" s="34">
      <c r="A45" s="10" t="inlineStr">
        <is>
          <t>B895</t>
        </is>
      </c>
      <c r="B45" s="3">
        <f>ConsolidatedMHrequirementFeb26!B45</f>
        <v/>
      </c>
      <c r="C45" s="3" t="n"/>
      <c r="D45" s="3" t="n"/>
      <c r="E45" s="3" t="n"/>
      <c r="F45" s="41">
        <f>VLOOKUP(A45,ConsolidatedMHrequirementFeb26!$A$4:$K$55,4,FALSE)</f>
        <v/>
      </c>
      <c r="G45" s="3">
        <f>ConsolidatedMHrequirementFeb26!F45</f>
        <v/>
      </c>
      <c r="H45" s="3">
        <f>ConsolidatedMHrequirementFeb26!E45</f>
        <v/>
      </c>
      <c r="I45" s="3">
        <f>ConsolidatedMHrequirementFeb26!G45</f>
        <v/>
      </c>
      <c r="J45" s="41">
        <f>VLOOKUP(A45,ConsolidatedMHrequirementFeb26!$A$4:$K$56,8,FALSE)</f>
        <v/>
      </c>
      <c r="K45" s="3" t="n">
        <v>0</v>
      </c>
      <c r="L45" s="3">
        <f>J45-K45</f>
        <v/>
      </c>
      <c r="M45" s="69">
        <f>ConsolidatedMHrequirementFeb26!I45</f>
        <v/>
      </c>
      <c r="N45" s="69" t="n"/>
      <c r="O45" s="69" t="n"/>
      <c r="P45" s="69" t="n"/>
      <c r="Q45" s="69" t="n"/>
      <c r="R45" s="69" t="n"/>
      <c r="S45" s="69" t="n"/>
      <c r="T45" s="69" t="n"/>
    </row>
    <row r="46" ht="20" customFormat="1" customHeight="1" s="34">
      <c r="A46" s="10" t="inlineStr">
        <is>
          <t>B903</t>
        </is>
      </c>
      <c r="B46" s="3">
        <f>ConsolidatedMHrequirementFeb26!B46</f>
        <v/>
      </c>
      <c r="C46" s="3" t="n"/>
      <c r="D46" s="3" t="n"/>
      <c r="E46" s="3" t="n"/>
      <c r="F46" s="41">
        <f>VLOOKUP(A46,ConsolidatedMHrequirementFeb26!$A$4:$K$55,4,FALSE)</f>
        <v/>
      </c>
      <c r="G46" s="3">
        <f>ConsolidatedMHrequirementFeb26!F46</f>
        <v/>
      </c>
      <c r="H46" s="3">
        <f>ConsolidatedMHrequirementFeb26!E46</f>
        <v/>
      </c>
      <c r="I46" s="3">
        <f>ConsolidatedMHrequirementFeb26!G46</f>
        <v/>
      </c>
      <c r="J46" s="41">
        <f>VLOOKUP(A46,ConsolidatedMHrequirementFeb26!$A$4:$K$56,8,FALSE)</f>
        <v/>
      </c>
      <c r="K46" s="3" t="n">
        <v>0</v>
      </c>
      <c r="L46" s="3">
        <f>J46-K46</f>
        <v/>
      </c>
      <c r="M46" s="69">
        <f>ConsolidatedMHrequirementFeb26!I46</f>
        <v/>
      </c>
      <c r="N46" s="69" t="n"/>
      <c r="O46" s="69" t="n"/>
      <c r="P46" s="69" t="n"/>
      <c r="Q46" s="69" t="n"/>
      <c r="R46" s="69" t="n"/>
      <c r="S46" s="69" t="n"/>
      <c r="T46" s="69" t="n"/>
    </row>
    <row r="47" customFormat="1" s="34">
      <c r="A47" s="10" t="inlineStr">
        <is>
          <t>B904</t>
        </is>
      </c>
      <c r="B47" s="3">
        <f>ConsolidatedMHrequirementFeb26!B47</f>
        <v/>
      </c>
      <c r="C47" s="3" t="n"/>
      <c r="D47" s="3" t="n"/>
      <c r="E47" s="3" t="n"/>
      <c r="F47" s="41">
        <f>VLOOKUP(A47,ConsolidatedMHrequirementFeb26!$A$4:$K$55,4,FALSE)</f>
        <v/>
      </c>
      <c r="G47" s="3">
        <f>ConsolidatedMHrequirementFeb26!F47</f>
        <v/>
      </c>
      <c r="H47" s="3">
        <f>ConsolidatedMHrequirementFeb26!E47</f>
        <v/>
      </c>
      <c r="I47" s="3">
        <f>ConsolidatedMHrequirementFeb26!G47</f>
        <v/>
      </c>
      <c r="J47" s="41">
        <f>VLOOKUP(A47,ConsolidatedMHrequirementFeb26!$A$4:$K$56,8,FALSE)</f>
        <v/>
      </c>
      <c r="K47" s="3" t="n">
        <v>0</v>
      </c>
      <c r="L47" s="3">
        <f>J47-K47</f>
        <v/>
      </c>
      <c r="M47" s="69">
        <f>ConsolidatedMHrequirementFeb26!I47</f>
        <v/>
      </c>
      <c r="N47" s="69" t="n"/>
      <c r="O47" s="69" t="n"/>
      <c r="P47" s="69" t="n"/>
      <c r="Q47" s="69" t="n"/>
      <c r="R47" s="69" t="n"/>
      <c r="S47" s="69" t="n"/>
      <c r="T47" s="69" t="n"/>
    </row>
    <row r="48" customFormat="1" s="34">
      <c r="A48" s="10" t="inlineStr">
        <is>
          <t>B933</t>
        </is>
      </c>
      <c r="B48" s="3">
        <f>ConsolidatedMHrequirementFeb26!B48</f>
        <v/>
      </c>
      <c r="C48" s="3" t="n"/>
      <c r="D48" s="3" t="n"/>
      <c r="E48" s="3" t="n"/>
      <c r="F48" s="41">
        <f>VLOOKUP(A48,ConsolidatedMHrequirementFeb26!$A$4:$K$55,4,FALSE)</f>
        <v/>
      </c>
      <c r="G48" s="3">
        <f>ConsolidatedMHrequirementFeb26!F48</f>
        <v/>
      </c>
      <c r="H48" s="3">
        <f>ConsolidatedMHrequirementFeb26!E48</f>
        <v/>
      </c>
      <c r="I48" s="3">
        <f>ConsolidatedMHrequirementFeb26!G48</f>
        <v/>
      </c>
      <c r="J48" s="41">
        <f>VLOOKUP(A48,ConsolidatedMHrequirementFeb26!$A$4:$K$56,8,FALSE)</f>
        <v/>
      </c>
      <c r="K48" s="3" t="n">
        <v>0</v>
      </c>
      <c r="L48" s="3">
        <f>J48-K48</f>
        <v/>
      </c>
      <c r="M48" s="69">
        <f>ConsolidatedMHrequirementFeb26!I48</f>
        <v/>
      </c>
      <c r="N48" s="69" t="n"/>
      <c r="O48" s="69" t="n"/>
      <c r="P48" s="69" t="n"/>
      <c r="Q48" s="69" t="n"/>
      <c r="R48" s="69" t="n"/>
      <c r="S48" s="69" t="n"/>
      <c r="T48" s="69" t="n"/>
    </row>
    <row r="49" customFormat="1" s="34">
      <c r="A49" s="10" t="inlineStr">
        <is>
          <t>B943</t>
        </is>
      </c>
      <c r="B49" s="3">
        <f>ConsolidatedMHrequirementFeb26!B49</f>
        <v/>
      </c>
      <c r="C49" s="3" t="n"/>
      <c r="D49" s="3" t="n"/>
      <c r="E49" s="3" t="n"/>
      <c r="F49" s="41">
        <f>VLOOKUP(A49,ConsolidatedMHrequirementFeb26!$A$4:$K$55,4,FALSE)</f>
        <v/>
      </c>
      <c r="G49" s="3">
        <f>ConsolidatedMHrequirementFeb26!F49</f>
        <v/>
      </c>
      <c r="H49" s="3">
        <f>ConsolidatedMHrequirementFeb26!E49</f>
        <v/>
      </c>
      <c r="I49" s="3">
        <f>ConsolidatedMHrequirementFeb26!G49</f>
        <v/>
      </c>
      <c r="J49" s="41">
        <f>VLOOKUP(A49,ConsolidatedMHrequirementFeb26!$A$4:$K$56,8,FALSE)</f>
        <v/>
      </c>
      <c r="K49" s="3" t="n">
        <v>0</v>
      </c>
      <c r="L49" s="3">
        <f>J49-K49</f>
        <v/>
      </c>
      <c r="M49" s="69">
        <f>ConsolidatedMHrequirementFeb26!I49</f>
        <v/>
      </c>
      <c r="N49" s="69" t="n"/>
      <c r="O49" s="69" t="n"/>
      <c r="P49" s="69" t="n"/>
      <c r="Q49" s="69" t="n"/>
      <c r="R49" s="69" t="n"/>
      <c r="S49" s="69" t="n"/>
      <c r="T49" s="69" t="n"/>
    </row>
    <row r="50" customFormat="1" s="34">
      <c r="A50" s="10" t="inlineStr">
        <is>
          <t>B957</t>
        </is>
      </c>
      <c r="B50" s="3">
        <f>ConsolidatedMHrequirementFeb26!B50</f>
        <v/>
      </c>
      <c r="C50" s="3" t="n"/>
      <c r="D50" s="3" t="n"/>
      <c r="E50" s="3" t="n"/>
      <c r="F50" s="41">
        <f>VLOOKUP(A50,ConsolidatedMHrequirementFeb26!$A$4:$K$55,4,FALSE)</f>
        <v/>
      </c>
      <c r="G50" s="3">
        <f>ConsolidatedMHrequirementFeb26!F50</f>
        <v/>
      </c>
      <c r="H50" s="3">
        <f>ConsolidatedMHrequirementFeb26!E50</f>
        <v/>
      </c>
      <c r="I50" s="3">
        <f>ConsolidatedMHrequirementFeb26!G50</f>
        <v/>
      </c>
      <c r="J50" s="41">
        <f>VLOOKUP(A50,ConsolidatedMHrequirementFeb26!$A$4:$K$56,8,FALSE)</f>
        <v/>
      </c>
      <c r="K50" s="3" t="n">
        <v>0</v>
      </c>
      <c r="L50" s="3">
        <f>J50-K50</f>
        <v/>
      </c>
      <c r="M50" s="69">
        <f>ConsolidatedMHrequirementFeb26!I50</f>
        <v/>
      </c>
      <c r="N50" s="69" t="n"/>
      <c r="O50" s="69" t="n"/>
      <c r="P50" s="69" t="n"/>
      <c r="Q50" s="69" t="n"/>
      <c r="R50" s="69" t="n"/>
      <c r="S50" s="69" t="n"/>
      <c r="T50" s="69" t="n"/>
    </row>
    <row r="51" customFormat="1" s="34">
      <c r="A51" s="10" t="inlineStr">
        <is>
          <t>B964</t>
        </is>
      </c>
      <c r="B51" s="3">
        <f>ConsolidatedMHrequirementFeb26!B51</f>
        <v/>
      </c>
      <c r="C51" s="3" t="n"/>
      <c r="D51" s="3" t="n"/>
      <c r="E51" s="3" t="n"/>
      <c r="F51" s="41">
        <f>VLOOKUP(A51,ConsolidatedMHrequirementFeb26!$A$4:$K$55,4,FALSE)</f>
        <v/>
      </c>
      <c r="G51" s="3">
        <f>ConsolidatedMHrequirementFeb26!F51</f>
        <v/>
      </c>
      <c r="H51" s="3">
        <f>ConsolidatedMHrequirementFeb26!E51</f>
        <v/>
      </c>
      <c r="I51" s="3">
        <f>ConsolidatedMHrequirementFeb26!G51</f>
        <v/>
      </c>
      <c r="J51" s="41">
        <f>VLOOKUP(A51,ConsolidatedMHrequirementFeb26!$A$4:$K$56,8,FALSE)</f>
        <v/>
      </c>
      <c r="K51" s="3" t="n">
        <v>0</v>
      </c>
      <c r="L51" s="3">
        <f>J51-K51</f>
        <v/>
      </c>
      <c r="M51" s="69">
        <f>ConsolidatedMHrequirementFeb26!I51</f>
        <v/>
      </c>
      <c r="N51" s="69" t="n"/>
      <c r="O51" s="69" t="n"/>
      <c r="P51" s="69" t="n"/>
      <c r="Q51" s="69" t="n"/>
      <c r="R51" s="69" t="n"/>
      <c r="S51" s="69" t="n"/>
      <c r="T51" s="69" t="n"/>
    </row>
    <row r="52" customFormat="1" s="34">
      <c r="A52" s="10" t="inlineStr">
        <is>
          <t>C007</t>
        </is>
      </c>
      <c r="B52" s="3">
        <f>ConsolidatedMHrequirementFeb26!B52</f>
        <v/>
      </c>
      <c r="C52" s="3" t="n"/>
      <c r="D52" s="3" t="n"/>
      <c r="E52" s="3" t="n"/>
      <c r="F52" s="41">
        <f>VLOOKUP(A52,ConsolidatedMHrequirementFeb26!$A$4:$K$55,4,FALSE)</f>
        <v/>
      </c>
      <c r="G52" s="3">
        <f>ConsolidatedMHrequirementFeb26!F52</f>
        <v/>
      </c>
      <c r="H52" s="3">
        <f>ConsolidatedMHrequirementFeb26!E52</f>
        <v/>
      </c>
      <c r="I52" s="3">
        <f>ConsolidatedMHrequirementFeb26!G52</f>
        <v/>
      </c>
      <c r="J52" s="41">
        <f>VLOOKUP(A52,ConsolidatedMHrequirementFeb26!$A$4:$K$56,8,FALSE)</f>
        <v/>
      </c>
      <c r="K52" s="3" t="n">
        <v>0</v>
      </c>
      <c r="L52" s="3">
        <f>J52-K52</f>
        <v/>
      </c>
      <c r="M52" s="69">
        <f>ConsolidatedMHrequirementFeb26!I52</f>
        <v/>
      </c>
      <c r="N52" s="69" t="n"/>
      <c r="O52" s="69" t="n"/>
      <c r="P52" s="69" t="n"/>
      <c r="Q52" s="69" t="n"/>
      <c r="R52" s="69" t="n"/>
      <c r="S52" s="69" t="n"/>
      <c r="T52" s="69" t="n"/>
    </row>
    <row r="53" customFormat="1" s="34">
      <c r="A53" s="10" t="inlineStr">
        <is>
          <t>C028</t>
        </is>
      </c>
      <c r="B53" s="3">
        <f>ConsolidatedMHrequirementFeb26!B53</f>
        <v/>
      </c>
      <c r="C53" s="3" t="n"/>
      <c r="D53" s="3" t="n"/>
      <c r="E53" s="3" t="n"/>
      <c r="F53" s="41">
        <f>VLOOKUP(A53,ConsolidatedMHrequirementFeb26!$A$4:$K$55,4,FALSE)</f>
        <v/>
      </c>
      <c r="G53" s="3">
        <f>ConsolidatedMHrequirementFeb26!F53</f>
        <v/>
      </c>
      <c r="H53" s="3">
        <f>ConsolidatedMHrequirementFeb26!E53</f>
        <v/>
      </c>
      <c r="I53" s="3">
        <f>ConsolidatedMHrequirementFeb26!G53</f>
        <v/>
      </c>
      <c r="J53" s="41">
        <f>VLOOKUP(A53,ConsolidatedMHrequirementFeb26!$A$4:$K$56,8,FALSE)</f>
        <v/>
      </c>
      <c r="K53" s="3" t="n">
        <v>0</v>
      </c>
      <c r="L53" s="3">
        <f>J53-K53</f>
        <v/>
      </c>
      <c r="M53" s="69">
        <f>ConsolidatedMHrequirementFeb26!I53</f>
        <v/>
      </c>
      <c r="N53" s="69" t="n"/>
      <c r="O53" s="69" t="n"/>
      <c r="P53" s="69" t="n"/>
      <c r="Q53" s="69" t="n"/>
      <c r="R53" s="69" t="n"/>
      <c r="S53" s="69" t="n"/>
      <c r="T53" s="69" t="n"/>
    </row>
    <row r="54" customFormat="1" s="34">
      <c r="A54" s="10" t="inlineStr">
        <is>
          <t>C068</t>
        </is>
      </c>
      <c r="B54" s="3">
        <f>ConsolidatedMHrequirementFeb26!B54</f>
        <v/>
      </c>
      <c r="C54" s="3" t="n"/>
      <c r="D54" s="3" t="n"/>
      <c r="E54" s="3" t="n"/>
      <c r="F54" s="41">
        <f>VLOOKUP(A54,ConsolidatedMHrequirementFeb26!$A$4:$K$55,4,FALSE)</f>
        <v/>
      </c>
      <c r="G54" s="3">
        <f>ConsolidatedMHrequirementFeb26!F54</f>
        <v/>
      </c>
      <c r="H54" s="3">
        <f>ConsolidatedMHrequirementFeb26!E54</f>
        <v/>
      </c>
      <c r="I54" s="3">
        <f>ConsolidatedMHrequirementFeb26!G54</f>
        <v/>
      </c>
      <c r="J54" s="41">
        <f>VLOOKUP(A54,ConsolidatedMHrequirementFeb26!$A$4:$K$56,8,FALSE)</f>
        <v/>
      </c>
      <c r="K54" s="3" t="n">
        <v>0</v>
      </c>
      <c r="L54" s="3">
        <f>J54-K54</f>
        <v/>
      </c>
      <c r="M54" s="69">
        <f>ConsolidatedMHrequirementFeb26!I54</f>
        <v/>
      </c>
      <c r="N54" s="69" t="n"/>
      <c r="O54" s="69" t="n"/>
      <c r="P54" s="69" t="n"/>
      <c r="Q54" s="69" t="n"/>
      <c r="R54" s="69" t="n"/>
      <c r="S54" s="69" t="n"/>
      <c r="T54" s="69" t="n"/>
    </row>
    <row r="55">
      <c r="A55" s="3" t="inlineStr">
        <is>
          <t>Leave</t>
        </is>
      </c>
      <c r="B55" s="3">
        <f>ConsolidatedMHrequirementFeb26!B55</f>
        <v/>
      </c>
      <c r="C55" s="3" t="n"/>
      <c r="D55" s="3" t="n"/>
      <c r="E55" s="3" t="n"/>
      <c r="F55" s="41">
        <f>VLOOKUP(A55,ConsolidatedMHrequirementFeb26!$A$4:$K$55,4,FALSE)</f>
        <v/>
      </c>
      <c r="G55" s="3">
        <f>ConsolidatedMHrequirementFeb26!F55</f>
        <v/>
      </c>
      <c r="H55" s="3">
        <f>ConsolidatedMHrequirementFeb26!E55</f>
        <v/>
      </c>
      <c r="I55" s="3">
        <f>ConsolidatedMHrequirementFeb26!G55</f>
        <v/>
      </c>
      <c r="J55" s="41">
        <f>VLOOKUP(A55,ConsolidatedMHrequirementFeb26!$A$4:$K$56,8,FALSE)</f>
        <v/>
      </c>
      <c r="K55" s="3" t="n">
        <v>100</v>
      </c>
      <c r="L55" s="3">
        <f>J55-K55</f>
        <v/>
      </c>
      <c r="M55" s="69">
        <f>ConsolidatedMHrequirementFeb26!I55</f>
        <v/>
      </c>
      <c r="N55" s="69" t="n"/>
      <c r="O55" s="69" t="n"/>
      <c r="P55" s="69" t="n"/>
      <c r="Q55" s="69" t="n"/>
      <c r="R55" s="69" t="n"/>
      <c r="S55" s="69" t="n"/>
      <c r="T55" s="69" t="n"/>
    </row>
    <row r="56">
      <c r="A56" s="3" t="inlineStr">
        <is>
          <t>Total</t>
        </is>
      </c>
      <c r="B56" s="3">
        <f>ConsolidatedMHrequirementFeb26!B55</f>
        <v/>
      </c>
      <c r="C56" s="3" t="n"/>
      <c r="D56" s="3" t="n"/>
      <c r="E56" s="3" t="n"/>
      <c r="F56" s="41">
        <f>VLOOKUP(A56,ConsolidatedMHrequirementFeb26!$A$4:$K$55,4,FALSE)</f>
        <v/>
      </c>
      <c r="G56" s="3">
        <f>ConsolidatedMHrequirementFeb26!F55</f>
        <v/>
      </c>
      <c r="H56" s="3">
        <f>ConsolidatedMHrequirementFeb26!E55</f>
        <v/>
      </c>
      <c r="I56" s="3">
        <f>ConsolidatedMHrequirementFeb26!G55</f>
        <v/>
      </c>
      <c r="J56" s="41">
        <f>VLOOKUP(A56,ConsolidatedMHrequirementFeb26!$A$4:$K$56,8,FALSE)</f>
        <v/>
      </c>
      <c r="K56" s="41">
        <f>SUM(K4:K55)</f>
        <v/>
      </c>
      <c r="L56" s="3">
        <f>J56-K56</f>
        <v/>
      </c>
      <c r="M56" s="69" t="n"/>
    </row>
    <row r="57">
      <c r="A57" s="55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55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24" t="inlineStr">
        <is>
          <t xml:space="preserve">Guidelines : </t>
        </is>
      </c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</row>
    <row r="60">
      <c r="A60" s="26" t="inlineStr">
        <is>
          <t>1. Inspection Visit including review and endorsement of final documents: At  actual</t>
        </is>
      </c>
      <c r="B60" s="26" t="n"/>
    </row>
    <row r="61">
      <c r="A61" s="26" t="inlineStr">
        <is>
          <t xml:space="preserve">2. Expediting and preparation of expediting report: Average 2 hours /month /order ( No Octarate man hours for coordination ) </t>
        </is>
      </c>
    </row>
    <row r="62">
      <c r="A62" s="26" t="inlineStr">
        <is>
          <t xml:space="preserve">3. Expediting visit/ Attending meeting with project/.Client: At  actual </t>
        </is>
      </c>
    </row>
    <row r="63">
      <c r="A63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4">
      <c r="A64" s="26" t="inlineStr">
        <is>
          <t xml:space="preserve">5. Review of ITP for Equipment (Mechanical and Electrical/DCS etc): Average 2 hours/order </t>
        </is>
      </c>
    </row>
    <row r="65">
      <c r="A65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6">
      <c r="A66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7">
      <c r="A67" s="26" t="inlineStr">
        <is>
          <t xml:space="preserve">8. Order Closing report: Average 2 hours/Order  </t>
        </is>
      </c>
    </row>
  </sheetData>
  <pageMargins left="0.7" right="0.7" top="0.75" bottom="0.75" header="0.3" footer="0.3"/>
  <pageSetup orientation="landscape" scale="71"/>
</worksheet>
</file>

<file path=xl/worksheets/sheet26.xml><?xml version="1.0" encoding="utf-8"?>
<worksheet xmlns="http://schemas.openxmlformats.org/spreadsheetml/2006/main">
  <sheetPr>
    <tabColor rgb="FFFF0000"/>
    <outlinePr summaryBelow="1" summaryRight="1"/>
    <pageSetUpPr/>
  </sheetPr>
  <dimension ref="A1:S70"/>
  <sheetViews>
    <sheetView topLeftCell="A16" zoomScale="85" zoomScaleNormal="85" workbookViewId="0">
      <selection activeCell="A49" sqref="A49"/>
    </sheetView>
  </sheetViews>
  <sheetFormatPr baseColWidth="8" defaultRowHeight="14.5"/>
  <cols>
    <col width="12.453125" customWidth="1" style="4" min="1" max="1"/>
    <col width="10.54296875" customWidth="1" style="125" min="2" max="4"/>
    <col width="17.08984375" customWidth="1" style="125" min="11" max="11"/>
    <col width="15" customWidth="1" style="125" min="15" max="17"/>
  </cols>
  <sheetData>
    <row r="1">
      <c r="A1" s="118" t="inlineStr">
        <is>
          <t>Consolidated man hour requirement  for Mar'26</t>
        </is>
      </c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2" t="n"/>
      <c r="L1" s="94" t="n"/>
    </row>
    <row r="2">
      <c r="A2" s="52">
        <f>(21*8*5)</f>
        <v/>
      </c>
      <c r="B2" s="111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2" t="n"/>
      <c r="L2" s="1" t="n"/>
      <c r="M2" s="111" t="n"/>
      <c r="N2" s="111" t="n"/>
      <c r="O2" s="112" t="n"/>
    </row>
    <row r="3" ht="41.25" customHeight="1" s="125">
      <c r="A3" s="3" t="inlineStr">
        <is>
          <t>Job No</t>
        </is>
      </c>
      <c r="B3" s="3" t="inlineStr">
        <is>
          <t>No. of Running orders</t>
        </is>
      </c>
      <c r="C3" s="3" t="inlineStr">
        <is>
          <t>Orders for FD f/up</t>
        </is>
      </c>
      <c r="D3" s="3" t="inlineStr">
        <is>
          <t>OCS done</t>
        </is>
      </c>
      <c r="E3" s="3" t="inlineStr">
        <is>
          <t>Exp.</t>
        </is>
      </c>
      <c r="F3" s="3" t="inlineStr">
        <is>
          <t>Inspn</t>
        </is>
      </c>
      <c r="G3" s="9" t="inlineStr">
        <is>
          <t>Others</t>
        </is>
      </c>
      <c r="H3" s="3" t="inlineStr">
        <is>
          <t>Total</t>
        </is>
      </c>
      <c r="I3" s="1" t="inlineStr">
        <is>
          <t>*Others/ Remarks</t>
        </is>
      </c>
      <c r="J3" s="111" t="n"/>
      <c r="K3" s="112" t="n"/>
      <c r="L3" s="110" t="inlineStr">
        <is>
          <t>Insp/ Project Coordinators</t>
        </is>
      </c>
      <c r="M3" s="111" t="n"/>
      <c r="N3" s="111" t="n"/>
      <c r="O3" s="112" t="n"/>
      <c r="P3" s="2" t="inlineStr">
        <is>
          <t xml:space="preserve">MH available as on </t>
        </is>
      </c>
      <c r="Q3" s="5" t="inlineStr">
        <is>
          <t>MH to be released for Mar'26</t>
        </is>
      </c>
      <c r="R3" t="inlineStr">
        <is>
          <t>Allotted</t>
        </is>
      </c>
      <c r="S3" t="inlineStr">
        <is>
          <t>8518 reqd</t>
        </is>
      </c>
    </row>
    <row r="4" ht="51.5" customHeight="1" s="125">
      <c r="A4" s="3" t="n">
        <v>4994</v>
      </c>
      <c r="B4" s="3" t="n">
        <v>0</v>
      </c>
      <c r="C4" s="3" t="n"/>
      <c r="D4" s="3" t="n"/>
      <c r="E4" s="3" t="n"/>
      <c r="F4" s="3" t="n"/>
      <c r="G4" s="9">
        <f>8*4</f>
        <v/>
      </c>
      <c r="H4" s="3">
        <f>SUM(E4:G4)</f>
        <v/>
      </c>
      <c r="I4" s="62" t="inlineStr">
        <is>
          <t>Enl:Weir Min (13/2) ;Reval:RSA Turbotech,Hitachi;Enh: (32h sought on 29/12 to RS, including Nidec)</t>
        </is>
      </c>
      <c r="J4" s="63" t="n"/>
      <c r="K4" s="64" t="n"/>
      <c r="L4" s="110" t="inlineStr">
        <is>
          <t>Rajesh Sinha</t>
        </is>
      </c>
      <c r="M4" s="111" t="n"/>
      <c r="N4" s="111" t="n"/>
      <c r="O4" s="112" t="n"/>
      <c r="P4" s="3" t="n">
        <v>0</v>
      </c>
      <c r="Q4" s="3" t="n">
        <v>32</v>
      </c>
      <c r="R4" t="n">
        <v>0</v>
      </c>
      <c r="S4" t="inlineStr">
        <is>
          <t>32h relsd on 14/1;40h relsd on 18/2;96 hr relsd on 16/3/20;24h relsd on 23/6;16hr allotted on 23/9; 32h issued on 28/6;40mh rels on 25/11;48h relsd on 1/2/22;56h issued on 21/3/22;16h relsd on 2/5/22;32 h rel on 27/6;32h rel on 30/11;24h rel on 9/2;32h rel on 28/3;36h ;32h rel on 22/5[3998]on 1/5;48h rel on 31/5;64h rel on 27/6;64h rel on 27/7;28h rel on 11/9 against 32 sought;8mh of Sep rel on 16/10;[3844 upto 8/1]40h rel on 8/1;48h rel on 1/4[3976];32h rel on 22/5[4006];36h on 4/6[4042];48h rel on 29/10[4154];44h for Nov &amp; Dec, rel. on 3/1/25[4198};24h rel on 10/2 [4222];- 16h rel on 22/4[4238];72h rel on 27/5[4310];16h rel on 11/7[4326];32mh rel on 1/1[4550]</t>
        </is>
      </c>
    </row>
    <row r="5" ht="46" customHeight="1" s="125">
      <c r="A5" s="3" t="n">
        <v>6979</v>
      </c>
      <c r="B5" s="3" t="n"/>
      <c r="C5" s="3" t="n"/>
      <c r="D5" s="3" t="n"/>
      <c r="E5" s="3" t="n"/>
      <c r="F5" s="3" t="n"/>
      <c r="G5" s="9" t="n"/>
      <c r="H5" s="3" t="n">
        <v>0</v>
      </c>
      <c r="I5" s="56" t="n"/>
      <c r="J5" s="56" t="n"/>
      <c r="K5" s="56" t="n"/>
      <c r="L5" s="110" t="n"/>
      <c r="M5" s="111" t="n"/>
      <c r="N5" s="111" t="n"/>
      <c r="O5" s="112" t="n"/>
      <c r="P5" s="3" t="n"/>
      <c r="Q5" s="3" t="n"/>
      <c r="S5" t="inlineStr">
        <is>
          <t>60h rel on 14/10 against MH for Vert. B; 36h rel on 8/1 in lieu of B302 [96];in lieu of B302106 mh rel against 6979 on 21/4 (for Jan/Feb/Mar) 6979-[202]</t>
        </is>
      </c>
    </row>
    <row r="6" ht="83.5" customHeight="1" s="125">
      <c r="A6" s="3" t="n">
        <v>7716</v>
      </c>
      <c r="B6" s="3" t="n"/>
      <c r="C6" s="3" t="n"/>
      <c r="D6" s="3" t="n"/>
      <c r="E6" s="3" t="n"/>
      <c r="F6" s="3" t="n">
        <v>0</v>
      </c>
      <c r="G6" s="9">
        <f>8*0</f>
        <v/>
      </c>
      <c r="H6" s="3">
        <f>SUM(E6:G6)</f>
        <v/>
      </c>
      <c r="I6" s="62" t="n"/>
      <c r="J6" s="63" t="n"/>
      <c r="K6" s="64" t="n"/>
      <c r="L6" s="110" t="inlineStr">
        <is>
          <t>Sanjeev Kumar/ Yatendra Agrawal - EIB Renovation</t>
        </is>
      </c>
      <c r="M6" s="111" t="n"/>
      <c r="N6" s="111" t="n"/>
      <c r="O6" s="112" t="n"/>
      <c r="P6" s="3" t="n"/>
      <c r="Q6" s="3" t="n"/>
      <c r="R6" t="inlineStr">
        <is>
          <t>16h rel on 9/4 against Climaveneta order referred in 8590 above [28]</t>
        </is>
      </c>
    </row>
    <row r="7" ht="123" customHeight="1" s="125">
      <c r="A7" s="3" t="n">
        <v>8518</v>
      </c>
      <c r="B7" s="3" t="n">
        <v>0</v>
      </c>
      <c r="C7" s="3" t="n"/>
      <c r="D7" s="3" t="n"/>
      <c r="E7" s="3" t="n">
        <v>0</v>
      </c>
      <c r="F7" s="3" t="n">
        <v>0</v>
      </c>
      <c r="G7" s="9" t="n"/>
      <c r="H7" s="3" t="n">
        <v>200</v>
      </c>
      <c r="I7" s="62" t="inlineStr">
        <is>
          <t>Admin works,Insp Guidelines/Typ Test review/ITP revision(Mech &amp; E&amp;I ITPS)/KM,NTPC Green - Discussions;HAL BD,other miscellaneous works incl.  Hosp Nomination;Capex Requirements for Off. &amp; GH, Vehicle Hiring Contract;Trgs.Aarohan(10,11/12);Dept. mtgs etc.</t>
        </is>
      </c>
      <c r="J7" s="63" t="n"/>
      <c r="K7" s="64" t="n"/>
      <c r="L7" s="110" t="inlineStr">
        <is>
          <t xml:space="preserve"> Tech Develop &amp; OH</t>
        </is>
      </c>
      <c r="M7" s="111" t="n"/>
      <c r="N7" s="111" t="n"/>
      <c r="O7" s="112" t="n"/>
      <c r="P7" s="3" t="n">
        <v>300</v>
      </c>
      <c r="Q7" s="3" t="n"/>
      <c r="S7" t="inlineStr">
        <is>
          <t>123h avl as on 27/6/22(2200 in 8518-02);300mh issued on 8/8/22 (tot. 2800mh/2521 consumed as of 8/8) - 2679 consumed as on 16/8- 121 hrs avl.[254h consumed in Jul'22]; 200h relsd on 6/9 in place of 300 sought (3000 as on 6/9/22);300 mh rel on 13/10 - 3300 as on 13/10;200h rel on 14/12[3500 as on 15/12];200h rel on 13/1/23[3800 as on 19/1/23] (176h avl. as on 19/1, after closure of Dec TS); 300mh rel on 20/2/23 against 8518-00 [15100-12657=2443mh];1836h rel on 18/3 -15998;for Apr MH, 418 mh rel on 4/6/24[15348];410 mh rel on 16/7[16408];60mh utilised in Sep [17331];417 mh rel. on 11/12 for Oct[17748];500mh rel on 17/1[18248];125 mh rel on 23/1[18373];316h rel on 4/3[18673];200h rel on 24/4[19398];600h rel on 25/7[19998]; 262 h avl on 9/1[219000]</t>
        </is>
      </c>
    </row>
    <row r="8" ht="123" customHeight="1" s="125">
      <c r="A8" s="3" t="n">
        <v>8590</v>
      </c>
      <c r="B8" s="3" t="n"/>
      <c r="C8" s="3" t="n"/>
      <c r="D8" s="3" t="n"/>
      <c r="E8" s="3" t="n"/>
      <c r="F8" s="3" t="n">
        <v>0</v>
      </c>
      <c r="G8" s="9" t="n"/>
      <c r="H8" s="3">
        <f>SUM(E8:G8)</f>
        <v/>
      </c>
      <c r="I8" s="62" t="n"/>
      <c r="J8" s="63" t="n"/>
      <c r="K8" s="64" t="n"/>
      <c r="L8" s="110" t="n"/>
      <c r="M8" s="111" t="n"/>
      <c r="N8" s="111" t="n"/>
      <c r="O8" s="112" t="n"/>
      <c r="P8" s="3" t="n"/>
      <c r="Q8" s="3" t="n"/>
    </row>
    <row r="9" ht="41.25" customHeight="1" s="125">
      <c r="A9" s="3" t="inlineStr">
        <is>
          <t>B016</t>
        </is>
      </c>
      <c r="B9" s="3" t="n">
        <v>0</v>
      </c>
      <c r="C9" s="3" t="n"/>
      <c r="D9" s="3" t="n"/>
      <c r="E9" s="3" t="n">
        <v>0</v>
      </c>
      <c r="F9" s="3" t="n"/>
      <c r="G9" s="9" t="n">
        <v>0</v>
      </c>
      <c r="H9" s="3" t="n">
        <v>0</v>
      </c>
      <c r="I9" s="57" t="inlineStr">
        <is>
          <t xml:space="preserve"> </t>
        </is>
      </c>
      <c r="J9" s="58" t="inlineStr">
        <is>
          <t xml:space="preserve"> </t>
        </is>
      </c>
      <c r="K9" s="59" t="inlineStr">
        <is>
          <t xml:space="preserve"> </t>
        </is>
      </c>
      <c r="L9" s="110" t="inlineStr">
        <is>
          <t>Uday Pratap Singh/Pankaj Saxena/Alok Singh</t>
        </is>
      </c>
      <c r="M9" s="111" t="n"/>
      <c r="N9" s="111" t="n"/>
      <c r="O9" s="112" t="n"/>
      <c r="P9" s="2" t="n"/>
      <c r="Q9" s="5" t="n"/>
      <c r="S9" t="inlineStr">
        <is>
          <t>10h issued on 2/5[1714];16h rel on 2/7[1722];8h rel on 12/9[1730] for VFD</t>
        </is>
      </c>
    </row>
    <row r="10" ht="83.5" customHeight="1" s="125">
      <c r="A10" s="10" t="inlineStr">
        <is>
          <t>B035</t>
        </is>
      </c>
      <c r="B10" s="3" t="n">
        <v>0</v>
      </c>
      <c r="C10" s="3" t="n"/>
      <c r="D10" s="3" t="n"/>
      <c r="E10" s="3">
        <f>B10*8</f>
        <v/>
      </c>
      <c r="F10" s="3" t="n">
        <v>0</v>
      </c>
      <c r="G10" s="12" t="n">
        <v>0</v>
      </c>
      <c r="H10" s="3">
        <f>E10+F10+G10</f>
        <v/>
      </c>
      <c r="I10" s="126" t="inlineStr">
        <is>
          <t>Expediting - Greensol;</t>
        </is>
      </c>
      <c r="J10" s="111" t="n"/>
      <c r="K10" s="112" t="n"/>
      <c r="L10" s="110" t="inlineStr">
        <is>
          <t>Saeed Akhtar/ D Jana</t>
        </is>
      </c>
      <c r="M10" s="111" t="n"/>
      <c r="N10" s="111" t="n"/>
      <c r="O10" s="112" t="n"/>
      <c r="P10" s="3" t="n">
        <v>0</v>
      </c>
      <c r="Q10" s="3">
        <f>H10-P10</f>
        <v/>
      </c>
      <c r="R10" t="inlineStr">
        <is>
          <t xml:space="preserve"> </t>
        </is>
      </c>
      <c r="S10" t="inlineStr">
        <is>
          <t>47 hr avl on 19/7;64 h already bkd in jul; 28 hrs relsd on 16/11;24h relsd on 18/12;24h relsd on 14/1;32h issued-RAM val extn for YVT reqd;16 h on 16/3/20;16h relsd on 23/6/20; J/F/M request:80/40/40; 96 hrs given on 4/2/21'40h on 30/3/21;16h allotted on 28/6;40h relsd on 25/8;24h relsd on 26/10;32h relsd on25/11;24 h rel. in Dec;24h rel on 3/2/22;8h relsd on 1/8/22;8h relsd on 29/8;32h rel on 27/9;8h rel on 10/1[1249];8h on 9/2[1257];8h on 1/5[1275];8h on 31/5[1283];8h on 28/7[1291];8 h on 15/9[1307];8 h on 26/9[1315];32h rel on 1/12[1407;32h rel on 8/1[1471]; 8h+ 4h(B302) rel on 12/2[1483];8h +6h(B302) rel on 11/3[1497];8h rel on 1/4[1505];8h rel on 13/5[1513];16h for May &amp; Jun rel on 1/7[1539];8h rel on 9/8[1555] 90h rel on 12/10 [1645]-10h bal c/f to Oct;8h rel on 28/2[1653]</t>
        </is>
      </c>
    </row>
    <row r="11" ht="83.5" customHeight="1" s="125">
      <c r="A11" s="10" t="inlineStr">
        <is>
          <t>B038</t>
        </is>
      </c>
      <c r="B11" s="3" t="n">
        <v>0</v>
      </c>
      <c r="C11" s="3" t="n"/>
      <c r="D11" s="3" t="n"/>
      <c r="E11" s="3">
        <f>2*B11</f>
        <v/>
      </c>
      <c r="F11" s="3" t="n">
        <v>0</v>
      </c>
      <c r="G11" s="9" t="n">
        <v>0</v>
      </c>
      <c r="H11" s="3">
        <f>E11+F11+G11</f>
        <v/>
      </c>
      <c r="I11" s="126" t="inlineStr">
        <is>
          <t>Expediting/fin.doc subm followup &amp; OCS prep(16 nos) - 24h sought for Time ex.of YIL &amp; other activities of past for CPCL on 22/12/21 - 16h relsd on 31/12/21; 1 Ord on FS recd in Oct-4h rel on 28/10; 8h sought on 5/12; Dec: 2 OCS +5 run. Ord. expediting - 28h sought (8h rel); Jan: 5 run ord +2 FD exp,Sandvik Mtgs - 36h sought - 12h rel [32];FEb- 20h sought-none relsd; Mar:32h sought- 16h issued; Meeting at Sandvik on 11/4/23 with MRPL; Apr:5 running orders+3FD expediting(32h)- total:40h sought - May: Alliema VC on 16/5/23;5 running orders+3FD expediting(32h)- 40h sought; 6r orders+2 OCS+Alliema expediting - 40h sought in Jun-16 relsd.[120];40 sought in Jul(8 ord+Alleima- exp incl. mtg on 26/7)); 36h sought in Aug- incl.7 orders(4 running) &amp; Alleima Expediting [64 h sought on 28/8 incl. 28h short of Jul]; [20 h relsd [168] ;6 orders expediting- 24h;6 orders expediting;1 OCS on 12/9;Alleima expediting including visits to Hosur works on 1 &amp; 7/9;Oct: 1 OCS done(704), 5 orders expediting- sought 24h;Nov: 7ord exp- 14hrs sought; Dec: 7 order expediting - 14h +4h- mtg with Head of Swims&amp; IL for urgent intervention; Jan:7 ord exp - 14h(not rel); Feb:2Runn ord exp +1OCS+4FD exp; Mar: 2 Runn ord+3FDsub exp+1 OCS; Mtg with YIL on 7/3/24 for Turnkey Instn Job;Apr: 1 Rord;3 FD exp+1OCS;mtg with YIL -29/4; May: 2 FD exp+1OCS+ 1Rord Exp -8h;Jun: 1FD exp+1OCS+1Rord Exp-6h; Jul: 1ord fd exp; 1ord- YIL - excl.exp. with mtgs &amp; daily f/ups; Aug- 2 ord - 4h; Sep-2 ord FD - 4h; Oct-2ord FD-4h ;Nov-2ord FD-4h;Dec-2ord FD-4h;Jan,Feb,Mar-2ord FD-4h; Apr- 2ord (incl 1OCS) -4h;May-1ord FD exp.;Jun-1 OCS</t>
        </is>
      </c>
      <c r="J11" s="111" t="n"/>
      <c r="K11" s="112" t="n"/>
      <c r="L11" s="110" t="inlineStr">
        <is>
          <t>Himanghsu Pal/Sanjeev Kumar/Aasheesh Handa</t>
        </is>
      </c>
      <c r="M11" s="111" t="n"/>
      <c r="N11" s="111" t="n"/>
      <c r="O11" s="112" t="n"/>
      <c r="P11" s="3" t="n">
        <v>0</v>
      </c>
      <c r="Q11" s="3">
        <f>H11-P11</f>
        <v/>
      </c>
      <c r="S11" t="inlineStr">
        <is>
          <t>60 hr allocated on 22/2/19 (first time); 140 hrs allotted on 26/4/19; 200h relsd on 7/8/19; 40 hrs relsd on 5/11/19;50 hrs relsd on 13/1/20;40 hr relsd on 20/2;;Bal. MH reqd from May'20 till completion of activities: 8 orders - 3 orders can get completed by Jul'20; bal 5 orders will go upto Sept- so Exp:3*3*4+5*5*4=136hrs;FD/OCS-29 orders -29*4*3=348 - So total - 484 mh; 16 hrs avl as on 27/5/20; 20 hrs avl. as on 20/8- RAM auth to be chkd;130h allotted on 29/9 - till end of pjt -brk up 40(sep),40(oct),50(Nov);16h relsd on 31/12/21;8h rel on 12/12; 8h rel on 6/1/23;12mh rel on 17/2 against 36 sought[32] b038-02;16h ag.20hsought on 27/2[48]; 16h rel on 6/4 against 20 sought[64];22h given against 40 sought on 15/5/23 [88];16h given in place of 40 on 19/6[104];12h (in place of 40h) rel on 8/8[132];28h rel on 7/9[160];16h rel on 9/10-sep ts closed - so used for Oct[184];26h rel on 18/12[210];10h on 11/1[220];7h rel on 4/3/24[234];16h rel for Mar [250];;8h on 4/6[270]8h rel on 4/8[278]</t>
        </is>
      </c>
    </row>
    <row r="12" ht="83.5" customHeight="1" s="125">
      <c r="A12" s="10" t="inlineStr">
        <is>
          <t>B058</t>
        </is>
      </c>
      <c r="B12" s="3" t="n">
        <v>0</v>
      </c>
      <c r="C12" s="3" t="n"/>
      <c r="D12" s="3" t="n"/>
      <c r="E12" s="3" t="n">
        <v>0</v>
      </c>
      <c r="F12" s="3" t="n"/>
      <c r="G12" s="9" t="n"/>
      <c r="H12" s="3" t="n">
        <v>0</v>
      </c>
      <c r="I12" s="56" t="inlineStr">
        <is>
          <t xml:space="preserve"> </t>
        </is>
      </c>
      <c r="J12" s="60" t="n"/>
      <c r="K12" s="61" t="n"/>
      <c r="L12" s="110" t="inlineStr">
        <is>
          <t>Patra/Sanjay Dhuria</t>
        </is>
      </c>
      <c r="M12" s="111" t="n"/>
      <c r="N12" s="111" t="n"/>
      <c r="O12" s="112" t="n"/>
      <c r="P12" s="3" t="n"/>
      <c r="Q12" s="3" t="n"/>
      <c r="S12" t="inlineStr">
        <is>
          <t>8h rel on 1/8</t>
        </is>
      </c>
    </row>
    <row r="13" ht="83.5" customHeight="1" s="125">
      <c r="A13" s="10" t="inlineStr">
        <is>
          <t>B224</t>
        </is>
      </c>
      <c r="B13" s="3" t="n">
        <v>1</v>
      </c>
      <c r="C13" s="3" t="n"/>
      <c r="D13" s="3" t="n"/>
      <c r="E13" s="3" t="inlineStr">
        <is>
          <t xml:space="preserve"> </t>
        </is>
      </c>
      <c r="F13" s="3" t="inlineStr">
        <is>
          <t xml:space="preserve"> </t>
        </is>
      </c>
      <c r="G13" s="9" t="n"/>
      <c r="H13" s="3">
        <f>8*22</f>
        <v/>
      </c>
      <c r="I13" s="62" t="inlineStr">
        <is>
          <t>Insp: Triveni Turbine- 11-16/12(6);C&amp;S-Sw.Bds-4,5,20,29/12(4d),KSBMIL-Control Valves-5,16,17/12(3d);VTV/Swims-29,30/12(2d);Microsys-29/12;Others- (5d),Doc Rev: Triveni Turbine 22,30/12;C&amp;S Sw Bd -19/12;LVS doc.rev-22/12;QAPs:SAS,Power T/f,Valves,Rotameter,Power Cables;Expediting: C&amp;S-1,11/12;</t>
        </is>
      </c>
      <c r="J13" s="63" t="n"/>
      <c r="K13" s="64" t="n"/>
      <c r="L13" s="110" t="inlineStr">
        <is>
          <t>G Suresh/Mr Dipak Panchal /Ms Gauri Sharma/ Mr Sunil Saurabh</t>
        </is>
      </c>
      <c r="M13" s="111" t="n"/>
      <c r="N13" s="111" t="n"/>
      <c r="O13" s="112" t="n"/>
      <c r="P13" s="3" t="n">
        <v>0</v>
      </c>
      <c r="Q13" s="3" t="n">
        <v>56</v>
      </c>
      <c r="S13" t="inlineStr">
        <is>
          <t>20 hrs issued on 9/20- addl 48 hrs provided on 18/11/20;48h recd on 8/1/21;64 mh against B224-05 recd on 14/5/21;56 h on 1/6/21;140h relsd on 6/12/21;190h relsd on 28/12/21;112h relsd on 2/2/22;64h relsd on 28/2/22;216h relsd on 28/3/22;88h relsd on 4/5/22;80h relsd on 29/6/22;80h relsd on 1/8/22;316h against all units relsd on 28/9 in unit 00; 114h relsd on 3/11/22; 120 h relsd on 4/12 against req. of 212h(804 in Unit 00 as on 6/12); 300 rel. on 6/1 in place of 388 sought [1104];172h rel on 172 on 16/2[1276];256h rel on 7/3[1532];300h (against 360 sought) rel on 5/4[1832];304h rel on 12/5[2136];300mh rel on 31/5 against 408 sought [2436]; 200h rel on 9/8 (264 sought)[3039]; 440h sought on 28/8 &amp; resld on 11/9; 372h sought on 26/9- relsd on 4/10; 301 hr rel. for Nov &amp; Dec against 480 sought on 8/1/24[4482];240mh issued on22/2 (against 252 sought) [4735];150h rel on 1/4 for feb &amp; 150h rel on 6/4 for mar[5035];96h rel on 21/5[5131];96h rel on 2/7/24 (for May'24)[5227];272h rel on 16/7[5499]; 40h rel on 12/10[5635];90h rel on 10/1[5720];100h rel on 20/1[5820];21h rel on 10/2[5841];307h rel for Jan-Mar on 24/4</t>
        </is>
      </c>
    </row>
    <row r="14" ht="83.5" customHeight="1" s="125">
      <c r="A14" s="10" t="inlineStr">
        <is>
          <t>B229</t>
        </is>
      </c>
      <c r="B14" s="3" t="n">
        <v>0</v>
      </c>
      <c r="C14" s="3" t="n"/>
      <c r="D14" s="3" t="n"/>
      <c r="E14" s="3">
        <f>2*B14</f>
        <v/>
      </c>
      <c r="F14" s="3" t="n"/>
      <c r="G14" s="9" t="n">
        <v>0</v>
      </c>
      <c r="H14" s="3">
        <f>SUM(E14:G14)</f>
        <v/>
      </c>
      <c r="I14" s="62" t="n"/>
      <c r="J14" s="63" t="n"/>
      <c r="K14" s="64" t="n"/>
      <c r="L14" s="110" t="inlineStr">
        <is>
          <t>Muthu/Patra/JPS Kalra/DK Kesri</t>
        </is>
      </c>
      <c r="M14" s="111" t="n"/>
      <c r="N14" s="111" t="n"/>
      <c r="O14" s="112" t="n"/>
      <c r="P14" s="3" t="n"/>
      <c r="Q14" s="3" t="n"/>
      <c r="S14" t="inlineStr">
        <is>
          <t>40 hrs relsd on 13/8/21; 16 hr to be relsd on 29/9;24  hrs relsd on 31/12;24h relsd on 8/2/22;24h relsd on 9/5/22'20h resld on 9/6/22;24h relsd on 15/7;228 consumed as on 1/8/22;20 h relsd on 2/8/22; 20h resld on 12/9/22;24h relsd on 3/10;10h rel on 9/12;28h rel on 9/1[345];48h rel on 14/3 for Jan/Feb [393];20h rel on 17/4[413];20h rel on 15/5[433];36h rel on 22/6[469];32h rel on 11/7[501];56 h sought for Jul(32)+Aug(24) on 28/8 - 32h of Jul rel. on 11/9[533];16h rel on 5/10[549];20h rel on 29/11[569];40h rel on 27/12[609];30h on 10/1[639];40h on 21/2[679];16h on 29/3[695];30h on 5/4[725];;16h rel on 16/5[741];-16h rel on 16/7[757]; 24 h rel on 12/10 but not utilised since Name appl. Not yet recd - to be c/f to Oct[765];10h rel on 10/12[775]; 100h rel on 23/1[883;8h rel on 6/3 [901]</t>
        </is>
      </c>
    </row>
    <row r="15" ht="83.5" customHeight="1" s="125">
      <c r="A15" s="10" t="inlineStr">
        <is>
          <t>B269</t>
        </is>
      </c>
      <c r="B15" s="3" t="n">
        <v>9</v>
      </c>
      <c r="C15" s="3" t="n">
        <v>4</v>
      </c>
      <c r="D15" t="n">
        <v>0</v>
      </c>
      <c r="E15" s="3">
        <f>2*B15</f>
        <v/>
      </c>
      <c r="F15" s="3">
        <f>8*0</f>
        <v/>
      </c>
      <c r="G15" s="9">
        <f>8*0</f>
        <v/>
      </c>
      <c r="H15" s="3">
        <f>SUM(E15:G15)</f>
        <v/>
      </c>
      <c r="I15" s="62" t="inlineStr">
        <is>
          <t xml:space="preserve">9 running orders+ 4Orders FD sub expediting; Critical Item Insp - </t>
        </is>
      </c>
      <c r="J15" s="63" t="n"/>
      <c r="K15" s="64" t="n"/>
      <c r="L15" s="110" t="inlineStr">
        <is>
          <t>Muthu/VA/Rajesh Bhatla/Arun Singh Arya/Sanjay Chaudhary</t>
        </is>
      </c>
      <c r="M15" s="111" t="n"/>
      <c r="N15" s="111" t="n"/>
      <c r="O15" s="112" t="n"/>
      <c r="P15" s="3" t="n">
        <v>0</v>
      </c>
      <c r="Q15" s="3" t="n"/>
      <c r="S15" t="inlineStr">
        <is>
          <t>;32h rel in place of 60h sought on 15/6[532];48h rel on 10/7 in pl. of 76 sought[580];36h (80 sought)rel on 8/8[640]; 49 h rel on ag. 88 sought on18/9 [689];96h rel on 4/10[785] ;42h rel on 29/11(for month of Oct)[827];30h rel on11/1 [857];80h rel on 18/1[937];40h rel on 19/2[977];24h rel against 50h sought on 13/3[1001];36h rel on 10/4[1037]-to be used in Apr since Mar TS already closed.;20mh rel on 2/7(for may)[1057];27h rel on 10/7[1084];40h rel on 9/8[1124]; 20h rel on 12/10[1174];48h rel on 30/12[1222];20mh rel on 8/1[1242];100h addl given on 20/1[1342];50h rel on 19/2[1392];30h rel on 19/3[1422];16mh rel on 17/4 [1438];For Apr+May-38mh rel on 19/6 (against 104+118=222h sought)[1476];Another 100mh rel on 20/6[1576];80mh rel on 11/7[1656]</t>
        </is>
      </c>
    </row>
    <row r="16" ht="51.5" customHeight="1" s="125">
      <c r="A16" s="10" t="inlineStr">
        <is>
          <t>B285</t>
        </is>
      </c>
      <c r="B16" s="3" t="n"/>
      <c r="C16" s="3" t="n"/>
      <c r="E16" s="3" t="n"/>
      <c r="F16" s="3" t="n"/>
      <c r="G16" s="9" t="n"/>
      <c r="H16" s="3" t="n">
        <v>0</v>
      </c>
      <c r="I16" s="56" t="inlineStr">
        <is>
          <t xml:space="preserve"> </t>
        </is>
      </c>
      <c r="J16" s="60" t="n"/>
      <c r="K16" s="61" t="n"/>
      <c r="L16" s="110" t="inlineStr">
        <is>
          <t>Sanjeev Kumar/Vikalp Paliwal</t>
        </is>
      </c>
      <c r="M16" s="111" t="n"/>
      <c r="N16" s="111" t="n"/>
      <c r="O16" s="112" t="n"/>
      <c r="P16" s="3" t="n"/>
      <c r="Q16" s="3" t="n"/>
    </row>
    <row r="17" ht="112" customHeight="1" s="125">
      <c r="A17" s="10" t="inlineStr">
        <is>
          <t>B297</t>
        </is>
      </c>
      <c r="B17" s="3" t="n">
        <v>0</v>
      </c>
      <c r="C17" s="3" t="n">
        <v>1</v>
      </c>
      <c r="D17" s="95" t="n">
        <v>1</v>
      </c>
      <c r="E17" s="3">
        <f>2*D17</f>
        <v/>
      </c>
      <c r="F17" s="3">
        <f>8*0</f>
        <v/>
      </c>
      <c r="G17" s="9">
        <f>8*0</f>
        <v/>
      </c>
      <c r="H17" s="3">
        <f>SUM(E17:G17)</f>
        <v/>
      </c>
      <c r="I17" s="62" t="inlineStr">
        <is>
          <t xml:space="preserve">Exp- 1OCS+ 1-FD sub exp </t>
        </is>
      </c>
      <c r="J17" s="63" t="n"/>
      <c r="K17" s="64" t="n"/>
      <c r="L17" s="110" t="inlineStr">
        <is>
          <t>Muthu/NS Vasudev/Manish Tiwari - GAIL Pata</t>
        </is>
      </c>
      <c r="M17" s="111" t="n"/>
      <c r="N17" s="111" t="n"/>
      <c r="O17" s="112" t="n"/>
      <c r="P17" s="3" t="n">
        <v>10</v>
      </c>
      <c r="Q17" s="3" t="n"/>
      <c r="S17" t="inlineStr">
        <is>
          <t>24h allotted on 25/2/22;44 h allotted on 2/6/22(against 64 sought) - 60h bkd in Jun correspond to previous month; jun rel. not happened sought 88h for Jun/Jul [128 h as of 11/8/22]-80h issued on 22/8/22; 28h resld on 25/8; 232h as on 6/9/22;268 as on 28/10(32 h rel for Sep being util. in Oct);30mh rel on 11/11;40 h rel on 7/12(338 as on 7/12);40h issued on 11/1 [378];30mh issued in Feb 10h avl on 9/2[408];46h given on 9/3 in pl of 68 sought [454]; 100h rel on 6/6 for May'23[554];40 on 8/7 in pl. of 184 h sought[594];20h rel on 9/10- sep ts closed so used in Oct [614] 30h rel for Oct[644]; 32 h rel on 15/12 against 58 sought[676];24h rel on 12/3 ag. 58 sought[755];18h rel on 5/4[773];16h rel on 15/5[789];16h rel on 24/6 [805];32;8h rel on 11/3 [965]h rel on 12/7[837];24h rel on 12/8[861];20h rel on 10/9[881];16h rel on 14/10[897]; 24h rel on 19/11[921];16h rel on 10/12[937];20h rel on 13/1[957];8h rel on 17/3[965]</t>
        </is>
      </c>
    </row>
    <row r="18" ht="83.5" customHeight="1" s="125">
      <c r="A18" s="10" t="inlineStr">
        <is>
          <t>B302</t>
        </is>
      </c>
      <c r="B18" s="3" t="n">
        <v>2</v>
      </c>
      <c r="C18" s="3" t="n">
        <v>1</v>
      </c>
      <c r="E18" s="3">
        <f>2*B18</f>
        <v/>
      </c>
      <c r="F18" s="3">
        <f>8*6.25</f>
        <v/>
      </c>
      <c r="G18" s="9">
        <f>8*0</f>
        <v/>
      </c>
      <c r="H18" s="3">
        <f>SUM(E18:G18)</f>
        <v/>
      </c>
      <c r="I18" s="62" t="inlineStr">
        <is>
          <t>3 Running orders ;Doc rev: -KPCL/Powrica-8/12;Shirdi Sai Elec -8/12;B&amp;R/Plantech-16/12;YIL-103-QAP appl-3/12; Inspn: KPCL/Powerica-17-19/12;</t>
        </is>
      </c>
      <c r="J18" s="63" t="n"/>
      <c r="K18" s="64" t="n"/>
      <c r="L18" s="110" t="inlineStr">
        <is>
          <t>Muthu/Hemant Gadasia/D Jana(302-1)/Vinod Kumar/Abhishek Rai/Balbir Singh (01-P/L &amp; 02- COT) - pump order - 02; FOA also to incl. Unit no for correlation</t>
        </is>
      </c>
      <c r="M18" s="111" t="n"/>
      <c r="N18" s="111" t="n"/>
      <c r="O18" s="112" t="n"/>
      <c r="P18" s="3" t="n"/>
      <c r="Q18" s="3" t="n"/>
      <c r="S18" t="inlineStr">
        <is>
          <t>8hr allotted on 31/10/21;4h all. On 30/11;16h relsd on 6/2/22;56h relsd against B302-01 on 1/4/22;56h of Mar'22 of 02 unit relsd on 4/5/22;36h for Jul/Aug/Sep'23 relsd against B035 on 3/10;4h rel against B035 on 12/2;10h rel against B035 on 29/5[1523];106 mh rel against 6979 on 21/4 (for Jan/Feb/Mar) 6979-[202]</t>
        </is>
      </c>
    </row>
    <row r="19" ht="83.5" customHeight="1" s="125">
      <c r="A19" s="10" t="inlineStr">
        <is>
          <t>B348</t>
        </is>
      </c>
      <c r="B19" s="3" t="n">
        <v>4</v>
      </c>
      <c r="C19" s="3" t="n">
        <v>2</v>
      </c>
      <c r="D19" t="n">
        <v>2</v>
      </c>
      <c r="E19" s="3">
        <f>2*B19+2*D19</f>
        <v/>
      </c>
      <c r="F19" s="3" t="n">
        <v>0</v>
      </c>
      <c r="G19" s="9" t="n">
        <v>0</v>
      </c>
      <c r="H19" s="3">
        <f>SUM(E19:G19)</f>
        <v/>
      </c>
      <c r="I19" s="62" t="inlineStr">
        <is>
          <t>4R orders+2ord FD exp+2 OCS</t>
        </is>
      </c>
      <c r="J19" s="62" t="n"/>
      <c r="K19" s="62" t="n"/>
      <c r="L19" s="110" t="inlineStr">
        <is>
          <t>Sanjeev Kumar/Lavish/HarshVardhan</t>
        </is>
      </c>
      <c r="M19" s="111" t="n"/>
      <c r="N19" s="111" t="n"/>
      <c r="O19" s="112" t="n"/>
      <c r="P19" s="3" t="n">
        <v>1</v>
      </c>
      <c r="Q19" s="3" t="n"/>
      <c r="S19" t="inlineStr">
        <is>
          <t>Not listed as of 1/8/22- sought listing as well as issue of 12mh till Jul;4h to be rel on 28/9 (14h as on 14/11);8h rel on 3/4[32]; 10h rel on 10/4-to be used in Apr TS[42];10h rel on 8/7[52];16h rel on 29/8[68];16h rel on 14/10[84];12h rel on 25/11[96];16h rel on 30/12[112];7 h rel on 21/2[135];6 h rel on 5/4[141];21h rel on 15/4[162]</t>
        </is>
      </c>
    </row>
    <row r="20" ht="83.5" customHeight="1" s="125">
      <c r="A20" s="3" t="inlineStr">
        <is>
          <t>B359</t>
        </is>
      </c>
      <c r="B20" s="3" t="n"/>
      <c r="C20" s="3" t="n"/>
      <c r="E20" s="3" t="n"/>
      <c r="F20" s="3" t="n">
        <v>0</v>
      </c>
      <c r="G20" s="9" t="n">
        <v>0</v>
      </c>
      <c r="H20" s="3">
        <f>SUM(E20:G20)</f>
        <v/>
      </c>
      <c r="I20" s="62" t="n"/>
      <c r="J20" s="62" t="n"/>
      <c r="K20" s="62" t="n"/>
      <c r="L20" s="110" t="inlineStr">
        <is>
          <t>G Suresh/Sumanta Mondal/Abhishek/Sarvesh Kumar</t>
        </is>
      </c>
      <c r="M20" s="111" t="n"/>
      <c r="N20" s="111" t="n"/>
      <c r="O20" s="112" t="n"/>
      <c r="P20" s="3" t="n"/>
      <c r="Q20" s="3" t="n"/>
      <c r="S20" t="inlineStr">
        <is>
          <t>24h relsd on 30/3/22;24h relsd on 2/8/2216mh rel on 5/3/25[232]</t>
        </is>
      </c>
    </row>
    <row r="21" ht="118" customHeight="1" s="125">
      <c r="A21" s="10" t="inlineStr">
        <is>
          <t>B378</t>
        </is>
      </c>
      <c r="B21" t="n">
        <v>10</v>
      </c>
      <c r="C21" t="n">
        <v>11</v>
      </c>
      <c r="D21" t="n">
        <v>2</v>
      </c>
      <c r="E21" s="3">
        <f>2*(B21+D21)</f>
        <v/>
      </c>
      <c r="F21" s="3">
        <f>8*0</f>
        <v/>
      </c>
      <c r="G21" s="9">
        <f>8*8</f>
        <v/>
      </c>
      <c r="H21" s="3">
        <f>SUM(E21:G21)</f>
        <v/>
      </c>
      <c r="I21" s="62" t="inlineStr">
        <is>
          <t>Expediting : 10R ord +11FDsub exp+2 OCS;Inspection: Belloseal(PO874)-16/12; YIL(639)-ESD 15-20/12; Kequip- Lab Insts Tender - QAP Appls(1d);Belloseal doc rev.(1d)</t>
        </is>
      </c>
      <c r="J21" s="62" t="n"/>
      <c r="K21" s="62" t="n"/>
      <c r="L21" s="110" t="inlineStr">
        <is>
          <t>Muthu/CS Prasad/Ajay Gupta/Rajeev Kr Khandelwal/Prakash Jagarwal/Deepak Dinkar -GAIL Usar</t>
        </is>
      </c>
      <c r="M21" s="111" t="n"/>
      <c r="N21" s="111" t="n"/>
      <c r="O21" s="112" t="n"/>
      <c r="P21" s="3" t="n">
        <v>0</v>
      </c>
      <c r="Q21" s="3" t="n"/>
      <c r="S21" t="inlineStr">
        <is>
          <t>15h relsd on 8/6/22 - auth avl for BT/US;28 h bkd as on 1/8/22- so not asked for anything in Jul;28h rel on 30/8/22;40h rel on 27/9(116h);136 as on 28/10;40mh rel on 6/12(200 as on 6/12);70mh rel on 9/1/23(270 as on 10/1);70 h on 9/2[340];50h in place of 96 sought on 13/3[390];130mh rel on 10/4[520];80 h rel in place of 116 sought[600];bal 36h rel on 18/5 [636];70h rel against 108 sought on 8/6 [706];160h rel against 164 sought on 10/7[866];100h rel on 8/8 against 156 sought[966];60h rel ag.168h sought on 12/9 [1126];185 rel. on 5/10[1311];88h rel in Nov [1399];92h rel on 12/12[1491];130h rel on 5/1[1621]; 356h excess bkd in Dec[1977];114h rel on 2/2[2091]140h rel on 13/3[2231];120h rel on 5/4[2351];92h rel on 13/5;95h rel on 10/7[2598];100h rel on 9/8 [2698];130h rel on 9/9[2828];210 rel on 10/10[3038];140h rel on 13/11[3178]; 140 h rel on 26/12[3318];150h rel on 13/1[3468];100h rel on 21/1[3568];140h rel on 12/2[3708];150 mh rel on 17/3[3858];155 mh rel on 15/4[4009];160h rel on 20/5; 160h rel on 16/6[4328];88h rel on 1/1/26[5194]</t>
        </is>
      </c>
    </row>
    <row r="22" ht="118" customHeight="1" s="125">
      <c r="A22" s="10" t="inlineStr">
        <is>
          <t>B398</t>
        </is>
      </c>
      <c r="E22" s="3" t="n"/>
      <c r="F22" s="3" t="n"/>
      <c r="G22" s="9">
        <f>8*0.5</f>
        <v/>
      </c>
      <c r="H22" s="3">
        <f>SUM(E22:G22)</f>
        <v/>
      </c>
      <c r="I22" s="62" t="inlineStr">
        <is>
          <t>Likita/Kristron Controls -CP-TRU/CPPSM QAPs -15/12</t>
        </is>
      </c>
      <c r="J22" s="62" t="n"/>
      <c r="K22" s="62" t="n"/>
      <c r="L22" s="110" t="n"/>
      <c r="M22" s="111" t="n"/>
      <c r="N22" s="111" t="n"/>
      <c r="O22" s="112" t="n"/>
      <c r="P22" s="3" t="n"/>
      <c r="Q22" s="3" t="n"/>
      <c r="S22" t="inlineStr">
        <is>
          <t>4h rel on 13/1[24]</t>
        </is>
      </c>
    </row>
    <row r="23" ht="43.5" customHeight="1" s="125">
      <c r="A23" s="10" t="inlineStr">
        <is>
          <t>B411</t>
        </is>
      </c>
      <c r="E23" s="3" t="n"/>
      <c r="F23" s="3" t="n"/>
      <c r="G23" s="9" t="n"/>
      <c r="H23" s="3" t="n"/>
      <c r="I23" s="62" t="n"/>
      <c r="J23" s="62" t="n"/>
      <c r="K23" s="62" t="n"/>
      <c r="L23" s="110" t="inlineStr">
        <is>
          <t>Muthu/Hemant Gadasia</t>
        </is>
      </c>
      <c r="M23" s="111" t="n"/>
      <c r="N23" s="111" t="n"/>
      <c r="O23" s="112" t="n"/>
      <c r="P23" s="3" t="n"/>
      <c r="Q23" s="3" t="n"/>
    </row>
    <row r="24" ht="40" customHeight="1" s="125">
      <c r="A24" s="10" t="inlineStr">
        <is>
          <t>B414</t>
        </is>
      </c>
      <c r="B24" t="n">
        <v>0</v>
      </c>
      <c r="C24" t="n">
        <v>4</v>
      </c>
      <c r="E24" s="3">
        <f>2*B24+1*0</f>
        <v/>
      </c>
      <c r="F24" s="3">
        <f>8*0</f>
        <v/>
      </c>
      <c r="G24" s="9">
        <f>8*0</f>
        <v/>
      </c>
      <c r="H24" s="3">
        <f>SUM(E24:G24)</f>
        <v/>
      </c>
      <c r="I24" s="62" t="inlineStr">
        <is>
          <t xml:space="preserve">4 orders FD expediting </t>
        </is>
      </c>
      <c r="J24" s="62" t="n"/>
      <c r="K24" s="62" t="n"/>
      <c r="L24" s="110" t="inlineStr">
        <is>
          <t>Sanjeev/ Shnaoli Nath</t>
        </is>
      </c>
      <c r="M24" s="111" t="n"/>
      <c r="N24" s="111" t="n"/>
      <c r="O24" s="112" t="n"/>
      <c r="P24" s="3" t="n"/>
      <c r="Q24" s="3" t="n"/>
      <c r="S24" t="inlineStr">
        <is>
          <t>96h issued on 6/7/23; B414- 200mh rel on 23/8/23 with time period upto Oct'23(though we had not sought any mh for Jul); [296] ason 13/3 - 133h avl as on 13/3;29h avl as on 8/4;29mh (earl avl) time ext. recd on 13/8/24);212 h rel on 14/10[518]</t>
        </is>
      </c>
    </row>
    <row r="25" ht="83.5" customHeight="1" s="125">
      <c r="A25" s="10" t="inlineStr">
        <is>
          <t>B436</t>
        </is>
      </c>
      <c r="E25" s="3" t="n">
        <v>2</v>
      </c>
      <c r="F25" s="3" t="n">
        <v>0</v>
      </c>
      <c r="G25" s="9" t="n">
        <v>0</v>
      </c>
      <c r="H25" s="3" t="n">
        <v>0</v>
      </c>
      <c r="I25" s="62" t="inlineStr">
        <is>
          <t xml:space="preserve">SCADA order on ABB </t>
        </is>
      </c>
      <c r="J25" s="62" t="n"/>
      <c r="K25" s="62" t="n"/>
      <c r="L25" s="110" t="inlineStr">
        <is>
          <t>T Ravi/Sangram Mishra/NS Vasudev</t>
        </is>
      </c>
      <c r="M25" s="111" t="n"/>
      <c r="N25" s="111" t="n"/>
      <c r="O25" s="112" t="n"/>
      <c r="P25" s="3" t="n"/>
      <c r="Q25" s="3" t="n"/>
      <c r="R25" t="inlineStr">
        <is>
          <t>10h rel on 22/5;26h rel on 12/10[38]</t>
        </is>
      </c>
    </row>
    <row r="26" ht="121.5" customHeight="1" s="125">
      <c r="A26" s="10" t="inlineStr">
        <is>
          <t>B440</t>
        </is>
      </c>
      <c r="B26" t="n">
        <v>10</v>
      </c>
      <c r="C26" t="n">
        <v>1</v>
      </c>
      <c r="D26" t="n">
        <v>1</v>
      </c>
      <c r="E26" s="3">
        <f>2*(B26 +D26)</f>
        <v/>
      </c>
      <c r="F26" s="3">
        <f>8*0.5</f>
        <v/>
      </c>
      <c r="G26" s="9">
        <f>8+4</f>
        <v/>
      </c>
      <c r="H26" s="3">
        <f>SUM(E26:G26)</f>
        <v/>
      </c>
      <c r="I26" s="62" t="inlineStr">
        <is>
          <t>Desk expediting, QAP appl if SITP not avl,TPI IRN end.,OCS; 80 +80 Mandays(E+I);1 ord on 2L Eng. Recd on 3/4/23; 8h to be sought in May'23; 2 ord exp-8h for Jul'23; As per HO mail dt 11/9/23, MH are not being relsd &amp; exp. Is being done by Pjts - Accordingly, we may not involve; Spl. reqts for IBA appd tptr &amp; freight upto site. ; For Sep: 4ord exp + Rev &amp; Comments on Technicas Insp. related issues - 27/10/23 ;For Nov: 4 ord exp(incl 5 OCS)+tech. clarification on Tech.Reuni Pkg ord; Dec: 6/12- Appl of WPS/PQR rev of TR pkg; ITP R4 reviewed on 16/1/24; WPS/PQR review/clarifications-12/2; IBR certification clarification-14/2;  INSPECTION AND TEST PLAN FOR STRUCUTRUAL STEEL FABRICATION OF RADIANT, HEATER &amp; APH - 03-FF-00-051 on 14/3; IRN rev &amp; endors for Plates &amp; Spares on 18 &amp; 22/3(1d); Revised ICP sub on 19/4; ITP for Pr. Part Fabrication appd on 22/4; ITP for Return Bends-8/5;INSPECTION AND TEST PLAN FOR CASTST RETURN BENDS -app on 17/5, clarifications-29/5;Study &amp; Clarification on IGC reqt-7/6;QAP appl of Exp. Joints &amp; Tube seals(14/6); IL ord 48 0 not yet in EPS; Tech. clar. &amp; doc. rev. of Tecnicas - VFDs TPI doc rev. on 13/8/24; MF EPCG license f/up; Doc rev. &amp; IRN endors. of Centrifugally Cast Support on 13/9; Plantech - Line stop fittings/TOR fittings- Doc rev/IRN endors:Hydrocyclone QAP rev-1/10; TR/ABB-VFD Doc rev/IRN end: 16/10; BHEL/Tmeic VFD insp- 28,29/10;Nov: 16 ord (incl.4 FD expediting)+ Insp: TMeic (BHEL S/o)-Drives-8,18/11;Doc Rev/IRN endors: CGL Drives-19/11;Tecnicas/TLT -ID/FD Fans-20/11; Tecnicas/ABB-VFD-13/11; TR - Rev/IRN endors of Exp.Joints &amp; Tube seals(17/12);12ord exp (incl 1 FD sub);Jan:25: 12ord exp (incl 1 FD sub);Feb25: 12 ord (incl 2 FD sub);Mar25:12 ord (incl 2 FD sub; KSBMIL - Rev. &amp; IRN endorsement of 4 lots Control Valves; Apr25: 15ord( inc 2 ord FD sub+1OCS);PO131-rev/end of TPI recds - 4h; May'25: 16ord(incl.1ord FD sub &amp; 1OCS);Jul'25: 16ord(incl.2 ord FD sub);PO155(End of TPI IRN)-26/6(0.5d);30h rel on 24/7[290]; Jul: Tec Reunidas-Spools Doc rev/IRN end- 14/7(0.5d);Weir Min-Hydrocyclone-Mtg. on Insp Clarifications-8/7(0.5d); Oct: 12 R ord+2OCS; Nov: 10R+2ord FD exp+excl. exp. visit to BDK +PO267-rev &amp; End. of TPI repts; Dec: 10 R ord+1OCS+PO61-TPI Doc rev/IRN endors</t>
        </is>
      </c>
      <c r="J26" s="62" t="n"/>
      <c r="K26" s="62" t="n"/>
      <c r="L26" s="110" t="inlineStr">
        <is>
          <t>Mittal/Ayush Mathur/Shivaji/VVR Murthy</t>
        </is>
      </c>
      <c r="M26" s="111" t="n"/>
      <c r="N26" s="111" t="n"/>
      <c r="O26" s="112" t="n"/>
      <c r="P26" s="3" t="n"/>
      <c r="Q26" s="3" t="n"/>
      <c r="R26" t="inlineStr">
        <is>
          <t>24h rel. on 5/10;4h rel on 29/2 [56]8h rel on 5/4[64];12h rel on 17/8[90];20h rel on 17/9[110];:16h rel on 10/10[127];18h rel pn 18/11[145]; 30h rel on 26/12[175];20h rel on 10/2[195] ; 35h rel on 21/4[230];15 h rel on 24/5[245]; 15 rel on 16/6[260]</t>
        </is>
      </c>
    </row>
    <row r="27" ht="83.5" customHeight="1" s="125">
      <c r="A27" s="10" t="inlineStr">
        <is>
          <t>B448</t>
        </is>
      </c>
      <c r="E27" s="3" t="n">
        <v>0</v>
      </c>
      <c r="F27" s="3">
        <f>8*5</f>
        <v/>
      </c>
      <c r="G27" s="9">
        <f>8*0</f>
        <v/>
      </c>
      <c r="H27" s="3">
        <f>SUM(E27:G27)</f>
        <v/>
      </c>
      <c r="I27" s="62" t="inlineStr">
        <is>
          <t>ABB - Plant Automation Pkg - Metering &amp; Blend Skid Insp - 19,23 (stage insp),30,31(fin. Insp)/12; Analyser Shelter ITP &amp; FAT proc. Appl</t>
        </is>
      </c>
      <c r="J27" s="62" t="n"/>
      <c r="K27" s="62" t="n"/>
      <c r="L27" s="110" t="inlineStr">
        <is>
          <t>Sanjeev Kumar/UK Mishra/NS Vasudev</t>
        </is>
      </c>
      <c r="M27" s="111" t="n"/>
      <c r="N27" s="111" t="n"/>
      <c r="O27" s="112" t="n"/>
      <c r="P27" s="3" t="n"/>
      <c r="Q27" s="3" t="n"/>
      <c r="S27" t="inlineStr">
        <is>
          <t>12 h issued on 11/1;4h rel on 11/3[22];8h rel on 6/4[30];20h rel on 11/5 [50];2h rel on 9/10 (sep ts closed so used in Oct)[56];2h rel on 10/4- to be used in Apr TS[56];18h rel on 22/5[74];4h rel on 1/7[78]; 16h rel on 27/8[110];8h rel on 4/3 [160];32h rel on 21/4[192]</t>
        </is>
      </c>
    </row>
    <row r="28" ht="83.5" customHeight="1" s="125">
      <c r="A28" s="3" t="inlineStr">
        <is>
          <t>B519</t>
        </is>
      </c>
      <c r="B28" t="n">
        <v>0</v>
      </c>
      <c r="C28" t="n">
        <v>2</v>
      </c>
      <c r="D28" t="n">
        <v>0</v>
      </c>
      <c r="E28" s="3">
        <f>2*B28</f>
        <v/>
      </c>
      <c r="F28" s="3">
        <f>8*0</f>
        <v/>
      </c>
      <c r="G28" s="9">
        <f>4</f>
        <v/>
      </c>
      <c r="H28" s="3">
        <f>SUM(E28:G28)</f>
        <v/>
      </c>
      <c r="I28" s="62" t="inlineStr">
        <is>
          <t>As per Pjt Prof, desk expediting by HO team, unless specifically sought from RPO(critical items).
-Insp.(within4 days of call) &amp; FD cert. by us - OCS not applicable. Insp @MIL -PO6823- 22/11; Insp@MIL on 9/12; Mtg. with YIL to expedite Analyser order (being followed up by Client); Mar25: 4 ord expediting - Check OCS status of B519/6821-YIL - shown o/s in Consolidated EPS rept; Apr'25: 2 runn ord (FD exp)+1OCS; May'25-1run ord+2ord FD exp;Jul'25-4 ord incl.2FD exp.; PO 6827-YIL - insp-25/7(1d); Nov'25: 1 OCS + 2ord FD exp.; Dec'25-6827- YIL-shelters- Doc rev/IRN end.</t>
        </is>
      </c>
      <c r="J28" s="62" t="n"/>
      <c r="K28" s="62" t="n"/>
      <c r="L28" s="110" t="inlineStr">
        <is>
          <t>G Suresh/HarshVardan/Prakash Jagarwal/DSNMurty</t>
        </is>
      </c>
      <c r="M28" s="111" t="n"/>
      <c r="N28" s="111" t="n"/>
      <c r="O28" s="112" t="n"/>
      <c r="P28" s="3" t="n"/>
      <c r="Q28" s="3" t="n"/>
    </row>
    <row r="29" ht="83.5" customHeight="1" s="125">
      <c r="A29" s="10" t="inlineStr">
        <is>
          <t>B548</t>
        </is>
      </c>
      <c r="E29" s="3" t="n">
        <v>0</v>
      </c>
      <c r="F29" s="3" t="n">
        <v>0</v>
      </c>
      <c r="G29" s="9" t="n">
        <v>0</v>
      </c>
      <c r="H29" s="3">
        <f>SUM(E29:G29)</f>
        <v/>
      </c>
      <c r="I29" s="62" t="n"/>
      <c r="J29" s="62" t="n"/>
      <c r="K29" s="62" t="n"/>
      <c r="L29" s="110" t="inlineStr">
        <is>
          <t>Sanjeev Kr/T Ravi/NS Vasudev/Sanjeev Kr Gupta</t>
        </is>
      </c>
      <c r="M29" s="111" t="n"/>
      <c r="N29" s="111" t="n"/>
      <c r="O29" s="112" t="n"/>
      <c r="P29" s="3" t="n"/>
      <c r="Q29" s="3" t="n"/>
      <c r="R29" t="inlineStr">
        <is>
          <t>8h all on 30/5;4h on 7/8[20];Dec/Jan/Feb-4h each[32];4h rel on 10/4- Mar TS closed- to be used in Apr[36];4h rel on 24/6[40];4h rel on 9/7[44];4h rel on 12/9[48];4h rel on 30/12[52];12h rel on 30/12[64]</t>
        </is>
      </c>
    </row>
    <row r="30" ht="83.5" customHeight="1" s="125">
      <c r="A30" s="10" t="inlineStr">
        <is>
          <t>B559</t>
        </is>
      </c>
      <c r="B30" t="n">
        <v>3</v>
      </c>
      <c r="C30" t="n">
        <v>0</v>
      </c>
      <c r="D30" t="n">
        <v>0</v>
      </c>
      <c r="E30" s="3">
        <f>2*D30+2*D30</f>
        <v/>
      </c>
      <c r="F30" s="3" t="n">
        <v>0</v>
      </c>
      <c r="G30" s="9" t="n">
        <v>0</v>
      </c>
      <c r="H30" s="3">
        <f>SUM(E30:G30)</f>
        <v/>
      </c>
      <c r="I30" s="62" t="inlineStr">
        <is>
          <t xml:space="preserve">IOCL Biturox,Vad-Proj. Prof. uploaded on 20/3- Desk Expediting - NO OCS; 3 R orders expediting </t>
        </is>
      </c>
      <c r="J30" s="62" t="n"/>
      <c r="K30" s="62" t="n"/>
      <c r="L30" s="110" t="inlineStr">
        <is>
          <t xml:space="preserve">Muthu/Aravaazhi/SK Gayen/RK Gupta </t>
        </is>
      </c>
      <c r="M30" s="111" t="n"/>
      <c r="N30" s="111" t="n"/>
      <c r="O30" s="112" t="n"/>
      <c r="P30" s="3" t="n"/>
      <c r="Q30" s="3" t="n"/>
      <c r="R30" t="inlineStr">
        <is>
          <t>86h rel on 13/3 [86];104h rel on 1/4[190]; 72 sought for Apr- 160 issued considering upcoming Chiller insp (88h extra avl. For May'24[350]-20h rel on 29/5[370];60mh rel on 1/7[386];20mh rel on 1/8[406];16h rel on 25/10[422];1h rel on 24/6 in B559-01[1]</t>
        </is>
      </c>
    </row>
    <row r="31" ht="83.5" customHeight="1" s="125">
      <c r="A31" s="3" t="inlineStr">
        <is>
          <t>B560</t>
        </is>
      </c>
      <c r="B31" t="n">
        <v>1</v>
      </c>
      <c r="C31" t="n">
        <v>4</v>
      </c>
      <c r="D31" t="n">
        <v>2</v>
      </c>
      <c r="E31" s="3">
        <f>2*(B31+D31)</f>
        <v/>
      </c>
      <c r="F31" s="3" t="n"/>
      <c r="G31" s="9" t="n">
        <v>0</v>
      </c>
      <c r="H31" s="3">
        <f>SUM(E31:G31)</f>
        <v/>
      </c>
      <c r="I31" s="62" t="inlineStr">
        <is>
          <t xml:space="preserve">Req.from ED(I) for expediting on 15/6/24 -1R ord+2OCS+4 FD exp &amp; OCS also to be made as per latest reqt.; </t>
        </is>
      </c>
      <c r="J31" s="62" t="n"/>
      <c r="K31" s="62" t="n"/>
      <c r="L31" s="110" t="inlineStr">
        <is>
          <t>G Suresh/Krishna Kumar/Vinod Kumar/RK Medhavi</t>
        </is>
      </c>
      <c r="M31" s="111" t="n"/>
      <c r="N31" s="111" t="n"/>
      <c r="O31" s="112" t="n"/>
      <c r="P31" s="3" t="n"/>
      <c r="Q31" s="3" t="n"/>
      <c r="R31" t="inlineStr">
        <is>
          <t>100h rel on 23/4</t>
        </is>
      </c>
    </row>
    <row r="32" ht="83.5" customHeight="1" s="125">
      <c r="A32" s="3" t="inlineStr">
        <is>
          <t>B571</t>
        </is>
      </c>
      <c r="E32" s="3">
        <f>8*3</f>
        <v/>
      </c>
      <c r="F32" s="3" t="n"/>
      <c r="G32" s="9" t="n"/>
      <c r="H32" s="3">
        <f>SUM(E32:G32)</f>
        <v/>
      </c>
      <c r="I32" s="62" t="inlineStr">
        <is>
          <t>ACL - Insp. Of Batt/Batt. Ch. At Univ. Insts (15-17/12)</t>
        </is>
      </c>
      <c r="J32" s="62" t="n"/>
      <c r="K32" s="62" t="n"/>
      <c r="L32" s="110" t="n"/>
      <c r="M32" s="111" t="n"/>
      <c r="N32" s="111" t="n"/>
      <c r="O32" s="112" t="n"/>
      <c r="P32" s="3" t="n"/>
      <c r="Q32" s="3" t="n"/>
    </row>
    <row r="33" ht="44" customHeight="1" s="125">
      <c r="A33" s="10" t="inlineStr">
        <is>
          <t>B589</t>
        </is>
      </c>
      <c r="E33" s="3" t="n">
        <v>0</v>
      </c>
      <c r="F33" s="3" t="n">
        <v>0</v>
      </c>
      <c r="G33" s="9" t="n">
        <v>0</v>
      </c>
      <c r="H33" s="3" t="n">
        <v>0</v>
      </c>
      <c r="I33" s="62" t="n"/>
      <c r="J33" s="62" t="n"/>
      <c r="K33" s="62" t="n"/>
      <c r="L33" s="110" t="inlineStr">
        <is>
          <t>Himangshu Pal/Sanjeev Kr/T Ravi/NS Vasudev/Sanjeev Kr Gupta</t>
        </is>
      </c>
      <c r="M33" s="111" t="n"/>
      <c r="N33" s="111" t="n"/>
      <c r="O33" s="112" t="n"/>
      <c r="P33" s="3" t="n"/>
      <c r="Q33" s="3" t="n"/>
      <c r="R33" t="inlineStr">
        <is>
          <t>8h rel on 6/6;8h on 7/8[18];8in oct,8 in dec,4 in Jan[38];12 on 5/4[50];8h rel on 10/4-Mar TS closed - to be used in Apr.[58];8h rel on 24/6[64];8h rel on 17/8[78];8h rel on 5/9[86];8h rel on 11/9[94]</t>
        </is>
      </c>
    </row>
    <row r="34" ht="83.5" customHeight="1" s="125">
      <c r="A34" s="10" t="inlineStr">
        <is>
          <t>B650</t>
        </is>
      </c>
      <c r="B34" t="n">
        <v>0</v>
      </c>
      <c r="D34" t="n">
        <v>0</v>
      </c>
      <c r="E34" s="3">
        <f>B34*2+2*D34</f>
        <v/>
      </c>
      <c r="F34" s="3" t="n"/>
      <c r="G34" s="9" t="n"/>
      <c r="H34" s="3">
        <f>SUM(E34:G34)</f>
        <v/>
      </c>
      <c r="I34" s="62" t="inlineStr">
        <is>
          <t xml:space="preserve">1ord FD exp - No scope for RPO - however, OCS to be done </t>
        </is>
      </c>
      <c r="J34" s="62" t="n"/>
      <c r="K34" s="62" t="n"/>
      <c r="L34" s="110" t="inlineStr">
        <is>
          <t>G Suresh/Sanjay Choudhary/Siddant Kumar</t>
        </is>
      </c>
      <c r="M34" s="111" t="n"/>
      <c r="N34" s="111" t="n"/>
      <c r="O34" s="112" t="n"/>
      <c r="P34" s="3" t="n"/>
      <c r="Q34" s="3" t="n"/>
    </row>
    <row r="35" ht="83.5" customHeight="1" s="125">
      <c r="A35" s="10" t="inlineStr">
        <is>
          <t>B653</t>
        </is>
      </c>
      <c r="B35" t="n">
        <v>5</v>
      </c>
      <c r="C35" t="n">
        <v>4</v>
      </c>
      <c r="D35" t="n">
        <v>2</v>
      </c>
      <c r="E35" s="3">
        <f>2*(B35+D35)*2</f>
        <v/>
      </c>
      <c r="F35" s="3" t="n"/>
      <c r="G35" s="9">
        <f>8*0.5</f>
        <v/>
      </c>
      <c r="H35" s="3">
        <f>SUM(E35:G35)</f>
        <v/>
      </c>
      <c r="I35" s="62" t="inlineStr">
        <is>
          <t>Expediting by RPOs as per email dtd 22/10/24, OCS by RPO as per CS mail dt 17/1; (6 running incl 6FD exp+1 OCS);Ultra Filter review &amp; exp 2 mtgs. -4h</t>
        </is>
      </c>
      <c r="J35" s="62" t="n"/>
      <c r="K35" s="62" t="n"/>
      <c r="L35" s="110" t="inlineStr">
        <is>
          <t>G Suresh/Sumanta Mondal/Aasheesh Handa/Amandeep Kaur</t>
        </is>
      </c>
      <c r="M35" s="111" t="n"/>
      <c r="N35" s="111" t="n"/>
      <c r="O35" s="112" t="n"/>
      <c r="P35" s="3" t="n"/>
      <c r="Q35" s="3" t="n"/>
      <c r="R35" t="inlineStr">
        <is>
          <t>40h rel on 9/4/24 [40]</t>
        </is>
      </c>
    </row>
    <row r="36" ht="83.5" customHeight="1" s="125">
      <c r="A36" s="3" t="inlineStr">
        <is>
          <t>B725</t>
        </is>
      </c>
      <c r="B36" s="3" t="n">
        <v>4</v>
      </c>
      <c r="C36" s="3" t="n"/>
      <c r="E36" s="3" t="n"/>
      <c r="F36" s="3" t="n">
        <v>0</v>
      </c>
      <c r="G36" s="9" t="n">
        <v>0</v>
      </c>
      <c r="H36" s="3">
        <f>SUM(E36:G36)</f>
        <v/>
      </c>
      <c r="I36" s="62" t="inlineStr">
        <is>
          <t xml:space="preserve">No expediting; </t>
        </is>
      </c>
      <c r="J36" s="62" t="n"/>
      <c r="K36" s="62" t="n"/>
      <c r="L36" s="110" t="inlineStr">
        <is>
          <t>Sanjeev Kumar- Scope: Rev. of ITP,Insp Docs &amp; FD</t>
        </is>
      </c>
      <c r="M36" s="111" t="n"/>
      <c r="N36" s="111" t="n"/>
      <c r="O36" s="112" t="n"/>
      <c r="P36" s="3" t="n"/>
      <c r="Q36" s="3" t="n"/>
      <c r="R36" t="inlineStr">
        <is>
          <t>4h sought by BT on 27/5 to Sanjeev Kr</t>
        </is>
      </c>
    </row>
    <row r="37" ht="83.5" customHeight="1" s="125">
      <c r="A37" s="3" t="inlineStr">
        <is>
          <t>B767</t>
        </is>
      </c>
      <c r="B37" s="3" t="n"/>
      <c r="C37" s="3" t="n"/>
      <c r="E37" s="3" t="n"/>
      <c r="F37" s="3">
        <f>8*2</f>
        <v/>
      </c>
      <c r="G37" s="9" t="n">
        <v>0</v>
      </c>
      <c r="H37" s="3">
        <f>SUM(E37:G37)</f>
        <v/>
      </c>
      <c r="I37" s="62" t="inlineStr">
        <is>
          <t>Visit to OLA -10/12 - 16h recd on 24/12</t>
        </is>
      </c>
      <c r="J37" s="62" t="n"/>
      <c r="K37" s="62" t="n"/>
      <c r="L37" s="110" t="inlineStr">
        <is>
          <t>Saeed Akhtar/Vikalp Paliwal/Balakumar</t>
        </is>
      </c>
      <c r="M37" s="111" t="n"/>
      <c r="N37" s="111" t="n"/>
      <c r="O37" s="112" t="n"/>
      <c r="P37" s="3" t="n"/>
      <c r="Q37" s="3" t="n"/>
      <c r="R37" t="inlineStr">
        <is>
          <t xml:space="preserve">200 h rel on 8/8/23;20h bkd in Aug; Next tranche of 200h relsd on 10/1/24 (for period Dec to Feb'24)[400];Next tranche of 250h relsd on 9/7/24 (for period Dec'24)[650]-50h rel on 31/3 [700] </t>
        </is>
      </c>
    </row>
    <row r="38" ht="83.5" customHeight="1" s="125">
      <c r="A38" s="3" t="inlineStr">
        <is>
          <t>B795</t>
        </is>
      </c>
      <c r="B38" s="3" t="n">
        <v>5</v>
      </c>
      <c r="C38" s="3" t="n"/>
      <c r="E38" s="3">
        <f>5*2</f>
        <v/>
      </c>
      <c r="F38" s="3">
        <f>8*0.5</f>
        <v/>
      </c>
      <c r="G38" s="9" t="n"/>
      <c r="H38" s="3">
        <f>SUM(E38:G38)</f>
        <v/>
      </c>
      <c r="I38" s="62" t="inlineStr">
        <is>
          <t>Insp:  -QAP appl. &amp; Insp. in EIL scope(desk exp.by Monitor) ;Telecom System-ABB-Exp. By RPO as per Pjt. Profile loaded in Nov'25 - From15/11/25, expediting by RPOs; Insp: Schneider(PO26)-Doc rev/IRN;ABB(12/12) &amp; ECIL PoC(23/12)</t>
        </is>
      </c>
      <c r="J38" s="62" t="n"/>
      <c r="K38" s="62" t="n"/>
      <c r="L38" s="110" t="inlineStr">
        <is>
          <t>Muthu/Hemant Gadasia/Tarun Bansal/Dipak Panchal</t>
        </is>
      </c>
      <c r="M38" s="111" t="n"/>
      <c r="N38" s="111" t="n"/>
      <c r="O38" s="112" t="n"/>
      <c r="P38" s="3" t="n"/>
      <c r="Q38" s="3" t="n"/>
      <c r="R38" t="inlineStr">
        <is>
          <t>32h rels. On 12/9;64h on 16/1; addl 100h rel on 20/1 [276]</t>
        </is>
      </c>
    </row>
    <row r="39" ht="83.5" customHeight="1" s="125">
      <c r="A39" s="3" t="inlineStr">
        <is>
          <t>B813</t>
        </is>
      </c>
      <c r="B39" t="n">
        <v>1</v>
      </c>
      <c r="C39" s="3" t="n"/>
      <c r="E39" s="3">
        <f>2*B39</f>
        <v/>
      </c>
      <c r="F39" s="3" t="n"/>
      <c r="G39" s="9" t="n"/>
      <c r="H39" s="3">
        <f>SUM(E39:G39)</f>
        <v/>
      </c>
      <c r="I39" s="62" t="inlineStr">
        <is>
          <t>Expedite &amp; Inspect critical items (list provided in mail dt.29/5/25) EIL on man-day reimbursable basis - 1 order on KSBMIL</t>
        </is>
      </c>
      <c r="J39" s="62" t="n"/>
      <c r="K39" s="62" t="n"/>
      <c r="L39" s="110" t="inlineStr">
        <is>
          <t>Sanjeev Kumar/Raviraj/Shivaji</t>
        </is>
      </c>
      <c r="M39" s="111" t="n"/>
      <c r="N39" s="111" t="n"/>
      <c r="O39" s="112" t="inlineStr">
        <is>
          <t>NRL-Aqueous Ammonia Unit</t>
        </is>
      </c>
      <c r="P39" s="3" t="n"/>
      <c r="Q39" s="3" t="n"/>
    </row>
    <row r="40" ht="83.5" customHeight="1" s="125">
      <c r="A40" s="3" t="inlineStr">
        <is>
          <t>B860</t>
        </is>
      </c>
      <c r="B40" s="96" t="n">
        <v>1</v>
      </c>
      <c r="C40" s="3" t="n"/>
      <c r="E40" s="3">
        <f>8*2</f>
        <v/>
      </c>
      <c r="F40" s="3" t="n"/>
      <c r="G40" s="9" t="n"/>
      <c r="H40" s="3">
        <f>SUM(E40:G40)</f>
        <v/>
      </c>
      <c r="I40" s="62" t="inlineStr">
        <is>
          <t>YIL-Terminal Automation System - Expediting &amp; Insp. - expediting &amp; all stake holders mtgs.(15,18/12)</t>
        </is>
      </c>
      <c r="J40" s="62" t="n"/>
      <c r="K40" s="62" t="n"/>
      <c r="L40" s="110" t="inlineStr">
        <is>
          <t>Muthu/Hemant Gadasia/Giridhar Nanduri/Sanjeev Gupta/RK Medhavi</t>
        </is>
      </c>
      <c r="M40" s="111" t="n"/>
      <c r="N40" s="111" t="n"/>
      <c r="O40" s="112" t="n"/>
      <c r="P40" s="3" t="inlineStr">
        <is>
          <t>KLL-Addl Terminals</t>
        </is>
      </c>
      <c r="Q40" s="3" t="n"/>
    </row>
    <row r="41" ht="83.5" customHeight="1" s="125">
      <c r="A41" s="3" t="inlineStr">
        <is>
          <t>B861</t>
        </is>
      </c>
      <c r="B41" t="n">
        <v>1</v>
      </c>
      <c r="C41" s="3" t="n"/>
      <c r="E41" s="3">
        <f>8*2</f>
        <v/>
      </c>
      <c r="F41" s="3">
        <f>8*2</f>
        <v/>
      </c>
      <c r="G41" s="9" t="n"/>
      <c r="H41" s="3">
        <f>SUM(E41:G41)</f>
        <v/>
      </c>
      <c r="I41" s="62" t="inlineStr">
        <is>
          <t>Enginemates order - Expediting, Rev. Mtg.,PAUT proc. Appl,Rev. of MTCs; Insp visit 29-30/12 (Plate id.+Pr.test+PAUT/UT/MPT+RT film rev. etc.)</t>
        </is>
      </c>
      <c r="J41" s="62" t="n"/>
      <c r="K41" s="62" t="n"/>
      <c r="L41" s="110" t="inlineStr">
        <is>
          <t>Muthu/Hemant Gadasia/Shashank Nayyar/D Jana</t>
        </is>
      </c>
      <c r="M41" s="111" t="n"/>
      <c r="N41" s="111" t="n"/>
      <c r="O41" s="112" t="n"/>
      <c r="P41" s="3" t="n"/>
      <c r="Q41" s="3" t="n"/>
    </row>
    <row r="42" ht="83.5" customHeight="1" s="125">
      <c r="A42" s="3" t="inlineStr">
        <is>
          <t>B862</t>
        </is>
      </c>
      <c r="B42" t="n">
        <v>7</v>
      </c>
      <c r="C42" s="3" t="n">
        <v>1</v>
      </c>
      <c r="E42" s="3">
        <f>B42*2</f>
        <v/>
      </c>
      <c r="F42" s="3" t="n"/>
      <c r="G42" s="9" t="n">
        <v>8</v>
      </c>
      <c r="H42" s="3">
        <f>SUM(E42:G42)</f>
        <v/>
      </c>
      <c r="I42" s="62" t="inlineStr">
        <is>
          <t>manhour for Level- 13 (Group-2), Level -15 &amp; 16 (Group-4) and Level-18 (Group-5) have far exceeded ceiling prescribed in the contract - &gt;Lvl 17-mh limited to 16%; Mtg-17/12-4hrs-exp+Disc. of.insp. Meth. &amp; scope for Active Unloading Pkg-QLAR; Fin. Cat. Plan appl(30/12)</t>
        </is>
      </c>
      <c r="J42" s="62" t="n"/>
      <c r="K42" s="62" t="n"/>
      <c r="L42" s="110" t="inlineStr">
        <is>
          <t>Sanjeev Kumar/Rajeev Khandelwal IOM 10/7/24 from Mr Rajeev Khandelwal on level wise breakup of MH to be booked - to be followed while seeking MH.</t>
        </is>
      </c>
      <c r="M42" s="111" t="n"/>
      <c r="N42" s="111" t="n"/>
      <c r="O42" s="112" t="inlineStr">
        <is>
          <t>PLL</t>
        </is>
      </c>
      <c r="P42" s="3" t="n"/>
      <c r="Q42" s="3" t="n"/>
      <c r="R42" t="inlineStr">
        <is>
          <t>200h rel in May'25</t>
        </is>
      </c>
    </row>
    <row r="43" ht="83.5" customHeight="1" s="125">
      <c r="A43" s="3" t="inlineStr">
        <is>
          <t>B865</t>
        </is>
      </c>
      <c r="C43" s="3" t="n"/>
      <c r="E43" s="3" t="n"/>
      <c r="F43" s="3" t="n"/>
      <c r="G43" s="9" t="n"/>
      <c r="H43" s="3" t="n"/>
      <c r="I43" s="62" t="inlineStr">
        <is>
          <t>EIL-Inspection scope of work is limited to review &amp; approval of QAP and providing dispatch clearance; Moreover, as per contract provision, HPCL may request for inspection by EIL as &amp; when they found it necessary which will be over &amp; above the TPIA inspection and manhours for same shall be reimbursed by HPCL for such shop visits - No expediting at RPO</t>
        </is>
      </c>
      <c r="J43" s="62" t="n"/>
      <c r="K43" s="62" t="n"/>
      <c r="L43" s="110" t="inlineStr">
        <is>
          <t>Muthu/CS Prasad/</t>
        </is>
      </c>
      <c r="M43" s="111" t="n"/>
      <c r="N43" s="111" t="n"/>
      <c r="O43" s="112" t="inlineStr">
        <is>
          <t>HPCL Petchem Mktg Terminal</t>
        </is>
      </c>
      <c r="P43" s="3" t="n"/>
      <c r="Q43" s="3" t="n"/>
    </row>
    <row r="44" ht="83.5" customHeight="1" s="125">
      <c r="A44" s="3" t="inlineStr">
        <is>
          <t>B889</t>
        </is>
      </c>
      <c r="B44" t="n">
        <v>1</v>
      </c>
      <c r="C44" s="3" t="n"/>
      <c r="E44" s="3">
        <f>2*B44</f>
        <v/>
      </c>
      <c r="F44" s="3" t="n"/>
      <c r="G44" s="9" t="n"/>
      <c r="H44" s="3">
        <f>SUM(E44:G44)</f>
        <v/>
      </c>
      <c r="I44" s="62" t="inlineStr">
        <is>
          <t>Expediting+OCS</t>
        </is>
      </c>
      <c r="J44" s="62" t="n"/>
      <c r="K44" s="62" t="n"/>
      <c r="L44" s="110" t="inlineStr">
        <is>
          <t>Vasu/</t>
        </is>
      </c>
      <c r="M44" s="111" t="n"/>
      <c r="N44" s="111" t="n"/>
      <c r="O44" s="112" t="inlineStr">
        <is>
          <t>MIL-Khadki</t>
        </is>
      </c>
      <c r="P44" s="3" t="n"/>
      <c r="Q44" s="3" t="n"/>
    </row>
    <row r="45" ht="83.5" customHeight="1" s="125">
      <c r="A45" s="3" t="inlineStr">
        <is>
          <t>B895</t>
        </is>
      </c>
      <c r="B45" t="n">
        <v>2</v>
      </c>
      <c r="C45" s="3" t="n"/>
      <c r="E45" s="3">
        <f>2*B45</f>
        <v/>
      </c>
      <c r="F45" s="3" t="n"/>
      <c r="G45" s="9" t="n">
        <v>4</v>
      </c>
      <c r="H45" s="3">
        <f>SUM(E45:G45)</f>
        <v/>
      </c>
      <c r="I45" s="62" t="inlineStr">
        <is>
          <t>1order oneach on Flowserve/Belgaum Aqua; FS Pumps QAP appl.</t>
        </is>
      </c>
      <c r="J45" s="62" t="n"/>
      <c r="K45" s="62" t="n"/>
      <c r="L45" s="110" t="inlineStr">
        <is>
          <t>Muthu/CS Prasad/Sujit Saha Roy/Shashank/Rajesh Bhatla</t>
        </is>
      </c>
      <c r="M45" s="111" t="n"/>
      <c r="N45" s="111" t="n"/>
      <c r="O45" s="112" t="n"/>
      <c r="P45" s="3" t="inlineStr">
        <is>
          <t>BPCL Kochi - Exp+Insp</t>
        </is>
      </c>
      <c r="Q45" s="3" t="n"/>
      <c r="R45" t="inlineStr">
        <is>
          <t>6h rel on 1/1[8]</t>
        </is>
      </c>
    </row>
    <row r="46" ht="83.5" customHeight="1" s="125">
      <c r="A46" s="3" t="inlineStr">
        <is>
          <t>B903</t>
        </is>
      </c>
      <c r="B46" t="n">
        <v>1</v>
      </c>
      <c r="C46" s="3" t="n">
        <v>1</v>
      </c>
      <c r="D46" t="n">
        <v>1</v>
      </c>
      <c r="E46" s="3">
        <f>2*(B46+D46)</f>
        <v/>
      </c>
      <c r="F46" s="3" t="n">
        <v>0</v>
      </c>
      <c r="G46" s="9" t="n"/>
      <c r="H46" s="3">
        <f>SUM(E46:G46)</f>
        <v/>
      </c>
      <c r="I46" s="62" t="inlineStr">
        <is>
          <t>1 ord exp+1OCS+1FD sub exp</t>
        </is>
      </c>
      <c r="J46" s="62" t="n"/>
      <c r="K46" s="62" t="n"/>
      <c r="L46" s="110" t="inlineStr">
        <is>
          <t>Sanjeev Kumar/Shnaoli</t>
        </is>
      </c>
      <c r="M46" s="111" t="n"/>
      <c r="N46" s="111" t="n"/>
      <c r="O46" s="112" t="n"/>
      <c r="P46" s="3" t="n"/>
      <c r="Q46" s="3" t="n"/>
    </row>
    <row r="47" ht="36" customHeight="1" s="125">
      <c r="A47" s="3" t="inlineStr">
        <is>
          <t>B904</t>
        </is>
      </c>
      <c r="B47" t="n">
        <v>0</v>
      </c>
      <c r="C47" s="3" t="n"/>
      <c r="D47" t="n">
        <v>1</v>
      </c>
      <c r="E47" s="3">
        <f>2*1</f>
        <v/>
      </c>
      <c r="F47" s="3" t="n"/>
      <c r="G47" s="9" t="n"/>
      <c r="H47" s="3">
        <f>SUM(E47:G47)</f>
        <v/>
      </c>
      <c r="I47" s="62" t="inlineStr">
        <is>
          <t>1 OCS</t>
        </is>
      </c>
      <c r="J47" s="62" t="n"/>
      <c r="K47" s="62" t="n"/>
      <c r="L47" s="110" t="inlineStr">
        <is>
          <t>Sanjeev Kumar/Shnaoli</t>
        </is>
      </c>
      <c r="M47" s="111" t="n"/>
      <c r="N47" s="111" t="n"/>
      <c r="O47" s="112" t="n"/>
      <c r="P47" s="3" t="n"/>
      <c r="Q47" s="3" t="n"/>
    </row>
    <row r="48" ht="39.5" customHeight="1" s="125">
      <c r="A48" s="3" t="inlineStr">
        <is>
          <t>B933</t>
        </is>
      </c>
      <c r="B48" t="n">
        <v>3</v>
      </c>
      <c r="C48" s="3" t="n"/>
      <c r="E48" s="3">
        <f>2*B48</f>
        <v/>
      </c>
      <c r="F48" s="3">
        <f>8*0</f>
        <v/>
      </c>
      <c r="G48" s="9" t="n">
        <v>8</v>
      </c>
      <c r="H48" s="3">
        <f>SUM(E48:G48)</f>
        <v/>
      </c>
      <c r="I48" s="62" t="inlineStr">
        <is>
          <t>3 Orders exp.; Phils Engg. - Mtgs. For expediting &amp; review of QAP/AI scope etc.; FS Pumps QAP appl.</t>
        </is>
      </c>
      <c r="J48" s="62" t="n"/>
      <c r="K48" s="62" t="n"/>
      <c r="L48" s="110" t="inlineStr">
        <is>
          <t>G Suresh/Binoy Debnath</t>
        </is>
      </c>
      <c r="M48" s="111" t="n"/>
      <c r="N48" s="111" t="n"/>
      <c r="O48" s="112" t="n"/>
      <c r="P48" s="3" t="inlineStr">
        <is>
          <t>BPCL Bina ref.</t>
        </is>
      </c>
      <c r="Q48" s="3" t="n"/>
    </row>
    <row r="49" ht="41.5" customHeight="1" s="125">
      <c r="A49" s="3" t="inlineStr">
        <is>
          <t>B943</t>
        </is>
      </c>
      <c r="B49" t="n">
        <v>3</v>
      </c>
      <c r="C49" s="3" t="n"/>
      <c r="E49" s="3">
        <f>2*B49</f>
        <v/>
      </c>
      <c r="F49" s="3" t="n"/>
      <c r="G49" s="9" t="n"/>
      <c r="H49" s="3">
        <f>SUM(E49:G49)</f>
        <v/>
      </c>
      <c r="I49" s="62" t="inlineStr">
        <is>
          <t>3 orders exp.</t>
        </is>
      </c>
      <c r="J49" s="62" t="n"/>
      <c r="K49" s="62" t="n"/>
      <c r="L49" s="110" t="inlineStr">
        <is>
          <t>Sanjeev Kumar</t>
        </is>
      </c>
      <c r="M49" s="111" t="n"/>
      <c r="N49" s="111" t="n"/>
      <c r="O49" s="112" t="inlineStr">
        <is>
          <t>MRPL</t>
        </is>
      </c>
      <c r="P49" s="3" t="n"/>
      <c r="Q49" s="3" t="n"/>
    </row>
    <row r="50" ht="41.5" customHeight="1" s="125">
      <c r="A50" s="3" t="inlineStr">
        <is>
          <t>B957</t>
        </is>
      </c>
      <c r="B50" s="3" t="n">
        <v>2</v>
      </c>
      <c r="C50" s="3" t="n"/>
      <c r="E50" s="3">
        <f>B50*0</f>
        <v/>
      </c>
      <c r="F50" s="3" t="n"/>
      <c r="G50" s="9" t="n">
        <v>16</v>
      </c>
      <c r="H50" s="3">
        <f>SUM(E50:G50)</f>
        <v/>
      </c>
      <c r="I50" s="62" t="inlineStr">
        <is>
          <t xml:space="preserve">Vihawk - Mtgs. With all stake holders on 2,9,22/12, QAP appls. </t>
        </is>
      </c>
      <c r="J50" s="62" t="n"/>
      <c r="K50" s="62" t="n"/>
      <c r="L50" s="110" t="n"/>
      <c r="M50" s="111" t="n"/>
      <c r="N50" s="111" t="n"/>
      <c r="O50" s="112" t="n"/>
      <c r="P50" s="3" t="n"/>
      <c r="Q50" s="3" t="n"/>
    </row>
    <row r="51" ht="40.5" customHeight="1" s="125">
      <c r="A51" s="3" t="inlineStr">
        <is>
          <t>B964</t>
        </is>
      </c>
      <c r="B51" s="3" t="n"/>
      <c r="C51" s="3" t="n"/>
      <c r="E51" s="3" t="n"/>
      <c r="F51" s="3" t="n"/>
      <c r="G51" s="9" t="n"/>
      <c r="H51" s="3" t="n"/>
      <c r="I51" s="62" t="inlineStr">
        <is>
          <t>Pipemill Coating -BT-10-25/1</t>
        </is>
      </c>
      <c r="J51" s="62" t="n"/>
      <c r="K51" s="62" t="n"/>
      <c r="L51" s="110" t="inlineStr">
        <is>
          <t>Muthu/Hemant Gadasia</t>
        </is>
      </c>
      <c r="M51" s="111" t="n"/>
      <c r="N51" s="111" t="n"/>
      <c r="O51" s="112" t="n"/>
      <c r="P51" s="3" t="n"/>
      <c r="Q51" s="3" t="n"/>
    </row>
    <row r="52" ht="39" customHeight="1" s="125">
      <c r="A52" s="3" t="inlineStr">
        <is>
          <t>C007</t>
        </is>
      </c>
      <c r="B52" s="3" t="n">
        <v>0</v>
      </c>
      <c r="C52" s="3" t="n"/>
      <c r="E52" s="3" t="n"/>
      <c r="F52" s="3">
        <f>8*B52</f>
        <v/>
      </c>
      <c r="G52" s="9" t="n"/>
      <c r="H52" s="3">
        <f>SUM(E52:G52)</f>
        <v/>
      </c>
      <c r="I52" s="62" t="inlineStr">
        <is>
          <t xml:space="preserve">Scope: Insp/Exp. of GAIL dir. Orders - </t>
        </is>
      </c>
      <c r="J52" s="62" t="n"/>
      <c r="K52" s="62" t="n"/>
      <c r="L52" s="110" t="inlineStr">
        <is>
          <t>Muthu/Hemant Gadasia/Rajeev Chak/RSKanna</t>
        </is>
      </c>
      <c r="M52" s="111" t="n"/>
      <c r="N52" s="111" t="n"/>
      <c r="O52" s="112" t="n"/>
      <c r="P52" s="3" t="inlineStr">
        <is>
          <t>Vijaypur/Pata P/L</t>
        </is>
      </c>
      <c r="Q52" s="3" t="n"/>
    </row>
    <row r="53" ht="39" customHeight="1" s="125">
      <c r="A53" s="3" t="inlineStr">
        <is>
          <t>C028</t>
        </is>
      </c>
      <c r="B53" s="3" t="n">
        <v>0</v>
      </c>
      <c r="C53" s="3" t="n"/>
      <c r="E53" s="3" t="n"/>
      <c r="F53" s="3" t="n"/>
      <c r="G53" s="9" t="n"/>
      <c r="H53" s="3">
        <f>8*B53</f>
        <v/>
      </c>
      <c r="I53" s="62" t="inlineStr">
        <is>
          <t xml:space="preserve">Pipemill Coating </t>
        </is>
      </c>
      <c r="J53" s="62" t="n"/>
      <c r="K53" s="62" t="n"/>
      <c r="L53" s="110" t="n"/>
      <c r="M53" s="111" t="n"/>
      <c r="N53" s="111" t="n"/>
      <c r="O53" s="112" t="n"/>
      <c r="P53" s="3" t="n"/>
      <c r="Q53" s="3" t="n"/>
    </row>
    <row r="54" ht="46.5" customHeight="1" s="125">
      <c r="A54" s="3" t="inlineStr">
        <is>
          <t>C068</t>
        </is>
      </c>
      <c r="B54" s="3" t="n"/>
      <c r="C54" s="3" t="n"/>
      <c r="E54" s="3" t="n"/>
      <c r="F54" s="3" t="n"/>
      <c r="G54" s="9" t="n"/>
      <c r="H54" s="3" t="n"/>
      <c r="I54" s="62" t="inlineStr">
        <is>
          <t>FS-Pumps - KOM with Client participation - 2/2</t>
        </is>
      </c>
      <c r="J54" s="62" t="n"/>
      <c r="K54" s="62" t="n"/>
      <c r="L54" s="110" t="inlineStr">
        <is>
          <t>T.Vasu/Dipak Panchal/SK Singh</t>
        </is>
      </c>
      <c r="M54" s="111" t="n"/>
      <c r="N54" s="111" t="n"/>
      <c r="O54" s="112" t="n"/>
      <c r="P54" s="3" t="n"/>
      <c r="Q54" s="3" t="n"/>
    </row>
    <row r="55" ht="46" customHeight="1" s="125">
      <c r="A55" s="3" t="inlineStr">
        <is>
          <t>Leave</t>
        </is>
      </c>
      <c r="B55" s="3" t="n">
        <v>11</v>
      </c>
      <c r="C55" s="3" t="n"/>
      <c r="D55" s="3" t="n"/>
      <c r="E55" s="3" t="n"/>
      <c r="F55" s="3" t="n"/>
      <c r="G55" s="9" t="inlineStr">
        <is>
          <t xml:space="preserve"> </t>
        </is>
      </c>
      <c r="H55" s="3">
        <f>8*B55</f>
        <v/>
      </c>
      <c r="I55" s="62" t="inlineStr">
        <is>
          <t>VR:11 ;AG:2,3;SV-19,20;BT-16,17,18;NV-9,10,11; Viji -2,3,4</t>
        </is>
      </c>
      <c r="J55" s="62" t="n"/>
      <c r="K55" s="62" t="n"/>
      <c r="L55" s="110" t="inlineStr">
        <is>
          <t xml:space="preserve"> </t>
        </is>
      </c>
      <c r="M55" s="111" t="n"/>
      <c r="N55" s="111" t="n"/>
      <c r="O55" s="112" t="n"/>
      <c r="P55" s="3" t="n"/>
      <c r="Q55" s="3">
        <f>H55-P55</f>
        <v/>
      </c>
      <c r="R55" t="n">
        <v>68</v>
      </c>
    </row>
    <row r="56" ht="45.5" customHeight="1" s="125">
      <c r="A56" s="3" t="inlineStr">
        <is>
          <t>Total</t>
        </is>
      </c>
      <c r="B56" s="3">
        <f>SUM(B10:B55)</f>
        <v/>
      </c>
      <c r="C56" s="3" t="n"/>
      <c r="D56" s="3" t="n"/>
      <c r="E56" s="3" t="n"/>
      <c r="F56" s="3" t="n"/>
      <c r="G56" s="9" t="n"/>
      <c r="H56" s="3">
        <f>SUM(H4:H55)</f>
        <v/>
      </c>
      <c r="I56" s="56" t="n"/>
      <c r="J56" s="56" t="n"/>
      <c r="K56" s="56" t="n"/>
      <c r="L56" s="110" t="n"/>
      <c r="M56" s="111" t="n"/>
      <c r="N56" s="111" t="n"/>
      <c r="O56" s="112" t="n"/>
      <c r="P56" s="3" t="n"/>
      <c r="Q56" s="3">
        <f>H56-P56</f>
        <v/>
      </c>
      <c r="R56">
        <f>SUM(R10:R55)</f>
        <v/>
      </c>
      <c r="S56">
        <f>672-R56</f>
        <v/>
      </c>
    </row>
    <row r="57" ht="83.5" customHeight="1" s="125">
      <c r="A57" s="3" t="n"/>
      <c r="B57" s="3" t="n"/>
      <c r="C57" s="3" t="n"/>
      <c r="D57" s="3" t="n"/>
      <c r="E57" s="3" t="n"/>
      <c r="F57" s="3" t="n"/>
      <c r="G57" s="9" t="n"/>
      <c r="H57" s="3" t="inlineStr">
        <is>
          <t xml:space="preserve"> </t>
        </is>
      </c>
      <c r="I57" s="56" t="n"/>
      <c r="J57" s="56" t="n"/>
      <c r="K57" s="56">
        <f>52*5*3- 36</f>
        <v/>
      </c>
      <c r="L57" s="110" t="n"/>
      <c r="M57" s="111" t="n"/>
      <c r="N57" s="111" t="n"/>
      <c r="O57" s="112" t="n"/>
      <c r="P57" s="3" t="n"/>
      <c r="Q57" s="3" t="n"/>
    </row>
    <row r="58" ht="83.5" customHeight="1" s="125">
      <c r="A58" s="3" t="inlineStr">
        <is>
          <t>Notes:</t>
        </is>
      </c>
      <c r="B58" s="3" t="n"/>
      <c r="C58" s="3" t="n"/>
      <c r="D58" s="3" t="n"/>
      <c r="E58" s="3" t="n"/>
      <c r="F58" s="3" t="n"/>
      <c r="G58" s="9" t="n"/>
      <c r="H58" s="3" t="n"/>
      <c r="I58" s="56" t="n"/>
      <c r="J58" s="56" t="n"/>
      <c r="K58" s="56" t="n"/>
      <c r="L58" s="110" t="n"/>
      <c r="M58" s="111" t="inlineStr">
        <is>
          <t xml:space="preserve"> </t>
        </is>
      </c>
      <c r="N58" s="111" t="n"/>
      <c r="O58" s="112" t="n"/>
      <c r="P58" s="3" t="n"/>
      <c r="Q58" s="3" t="n"/>
    </row>
    <row r="59" ht="83.5" customHeight="1" s="125">
      <c r="A59" s="3" t="inlineStr">
        <is>
          <t>1. If there are any other job nos., pl. include the same.</t>
        </is>
      </c>
      <c r="B59" s="3" t="n"/>
      <c r="C59" s="3" t="n"/>
      <c r="D59" s="3" t="n"/>
      <c r="E59" s="3" t="n"/>
      <c r="F59" s="3" t="n"/>
      <c r="G59" s="9" t="n"/>
      <c r="H59" s="3" t="n"/>
      <c r="I59" s="9" t="inlineStr">
        <is>
          <t xml:space="preserve"> </t>
        </is>
      </c>
      <c r="J59" s="111" t="n"/>
      <c r="K59" s="112" t="n"/>
      <c r="L59" s="6" t="inlineStr">
        <is>
          <t xml:space="preserve"> </t>
        </is>
      </c>
      <c r="M59" s="7" t="inlineStr">
        <is>
          <t xml:space="preserve"> </t>
        </is>
      </c>
      <c r="N59" s="7" t="n"/>
      <c r="O59" s="8" t="n"/>
      <c r="P59" s="3" t="n"/>
      <c r="Q59" s="3" t="n"/>
    </row>
    <row r="60">
      <c r="A60" s="24" t="inlineStr">
        <is>
          <t xml:space="preserve">Guidelines : </t>
        </is>
      </c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</row>
    <row r="61">
      <c r="A61" s="26" t="inlineStr">
        <is>
          <t>1. Inspection Visit including review and endorsement of final documents: At  actual</t>
        </is>
      </c>
      <c r="B61" s="26" t="n"/>
      <c r="C61" s="26" t="n"/>
      <c r="D61" s="26" t="n"/>
    </row>
    <row r="62">
      <c r="A62" s="26" t="inlineStr">
        <is>
          <t xml:space="preserve">2. Expediting and preparation of expediting report: Average 2 hours /month /order ( No separate man hours for coordination ) </t>
        </is>
      </c>
      <c r="S62" t="inlineStr">
        <is>
          <t xml:space="preserve"> </t>
        </is>
      </c>
    </row>
    <row r="63">
      <c r="A63" s="26" t="inlineStr">
        <is>
          <t xml:space="preserve">3. Expediting visit/ Attending meeting with project/.Client: At  actual </t>
        </is>
      </c>
    </row>
    <row r="64">
      <c r="A64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5">
      <c r="A65" s="26" t="inlineStr">
        <is>
          <t xml:space="preserve">5. Review of ITP for Equipment (Mechanical and Electrical/DCS etc): Average 2 hours/order </t>
        </is>
      </c>
      <c r="O65" t="inlineStr">
        <is>
          <t xml:space="preserve"> </t>
        </is>
      </c>
    </row>
    <row r="66">
      <c r="A66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7">
      <c r="A67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8">
      <c r="A68" s="26" t="inlineStr">
        <is>
          <t xml:space="preserve">8. Order Closing report: Average 2 hours/Order  </t>
        </is>
      </c>
    </row>
    <row r="69">
      <c r="A69" s="27" t="n"/>
    </row>
    <row r="70">
      <c r="L70" t="inlineStr">
        <is>
          <t xml:space="preserve"> </t>
        </is>
      </c>
    </row>
  </sheetData>
  <mergeCells count="7">
    <mergeCell ref="I11:K11"/>
    <mergeCell ref="I10:K10"/>
    <mergeCell ref="I59:K59"/>
    <mergeCell ref="A2:K2"/>
    <mergeCell ref="L2:O2"/>
    <mergeCell ref="I3:K3"/>
    <mergeCell ref="A1:K1"/>
  </mergeCells>
  <pageMargins left="0.7" right="0.7" top="0.75" bottom="0.75" header="0.3" footer="0.3"/>
  <pageSetup orientation="landscape" paperSize="9"/>
</worksheet>
</file>

<file path=xl/worksheets/sheet27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Y67"/>
  <sheetViews>
    <sheetView topLeftCell="A15" workbookViewId="0">
      <selection activeCell="A54" sqref="A54:L55"/>
    </sheetView>
  </sheetViews>
  <sheetFormatPr baseColWidth="8" defaultRowHeight="14.5"/>
  <cols>
    <col width="8.7265625" customWidth="1" style="27" min="1" max="1"/>
    <col width="12.54296875" customWidth="1" style="125" min="2" max="2"/>
    <col width="12.6328125" customWidth="1" style="125" min="3" max="3"/>
    <col width="12.54296875" customWidth="1" style="125" min="4" max="4"/>
    <col width="12.1796875" customWidth="1" style="125" min="5" max="5"/>
    <col width="11.90625" customWidth="1" style="125" min="6" max="6"/>
    <col width="12.54296875" customWidth="1" style="125" min="7" max="9"/>
    <col width="10.08984375" customWidth="1" style="125" min="10" max="12"/>
  </cols>
  <sheetData>
    <row r="1" customFormat="1" s="122">
      <c r="A1" s="32" t="inlineStr">
        <is>
          <t>RPO : Bengaluru</t>
        </is>
      </c>
      <c r="C1" s="14" t="n"/>
      <c r="D1" s="122" t="inlineStr">
        <is>
          <t>LOCATION CODE : 18-42-506</t>
        </is>
      </c>
      <c r="H1" s="122" t="inlineStr">
        <is>
          <t>MONTH :</t>
        </is>
      </c>
      <c r="I1" s="65" t="n">
        <v>46082</v>
      </c>
      <c r="M1" s="122" t="inlineStr">
        <is>
          <t xml:space="preserve">Total MH reqd: </t>
        </is>
      </c>
      <c r="O1" s="122">
        <f>ConsolidatedMHrequirementMar26!A2</f>
        <v/>
      </c>
    </row>
    <row r="2" customFormat="1" s="122">
      <c r="A2" s="32" t="n"/>
      <c r="C2" s="14" t="n"/>
    </row>
    <row r="3" ht="72.5" customFormat="1" customHeight="1" s="34">
      <c r="A3" s="33" t="inlineStr">
        <is>
          <t xml:space="preserve">Job No </t>
        </is>
      </c>
      <c r="B3" s="33" t="inlineStr">
        <is>
          <t>Number of Purchase Orders</t>
        </is>
      </c>
      <c r="C3" s="33" t="inlineStr">
        <is>
          <t xml:space="preserve">No of Engineers deployed </t>
        </is>
      </c>
      <c r="D3" s="33" t="inlineStr">
        <is>
          <t>No of Inspn / Expediting Visits</t>
        </is>
      </c>
      <c r="E3" s="33" t="inlineStr">
        <is>
          <t xml:space="preserve">No of Expediting Reports / Desk expediting </t>
        </is>
      </c>
      <c r="F3" s="33" t="inlineStr">
        <is>
          <t>No of OCRs</t>
        </is>
      </c>
      <c r="G3" s="33" t="inlineStr">
        <is>
          <t xml:space="preserve">Manhours for Inspection </t>
        </is>
      </c>
      <c r="H3" s="33" t="inlineStr">
        <is>
          <t xml:space="preserve">Manhours for expediting </t>
        </is>
      </c>
      <c r="I3" s="33" t="inlineStr">
        <is>
          <t xml:space="preserve">Others </t>
        </is>
      </c>
      <c r="J3" s="33" t="inlineStr">
        <is>
          <t xml:space="preserve">Total Manhours  required </t>
        </is>
      </c>
      <c r="K3" s="33" t="inlineStr">
        <is>
          <t>Recd as on 24/12/25</t>
        </is>
      </c>
      <c r="L3" s="33" t="inlineStr">
        <is>
          <t>Shortfall</t>
        </is>
      </c>
    </row>
    <row r="4" ht="15" customHeight="1" s="125">
      <c r="A4" s="71" t="n">
        <v>4994</v>
      </c>
      <c r="B4" s="3">
        <f>ConsolidatedMHrequirementMar26!B4</f>
        <v/>
      </c>
      <c r="C4" s="3" t="n"/>
      <c r="D4" s="3" t="n"/>
      <c r="E4" s="3" t="n"/>
      <c r="F4" s="41">
        <f>VLOOKUP(A4,ConsolidatedMHrequirementMar26!$A$4:$K$55,4,FALSE)</f>
        <v/>
      </c>
      <c r="G4" s="3">
        <f>ConsolidatedMHrequirementMar26!F4</f>
        <v/>
      </c>
      <c r="H4" s="3">
        <f>ConsolidatedMHrequirementMar26!E4</f>
        <v/>
      </c>
      <c r="I4" s="3">
        <f>ConsolidatedMHrequirementMar26!G4</f>
        <v/>
      </c>
      <c r="J4" s="41">
        <f>VLOOKUP(A4,ConsolidatedMHrequirementMar26!$A$4:$K$55,8,FALSE)</f>
        <v/>
      </c>
      <c r="K4" s="3" t="n">
        <v>0</v>
      </c>
      <c r="L4" s="3">
        <f>J4-K4</f>
        <v/>
      </c>
      <c r="M4" s="69">
        <f>ConsolidatedMHrequirementMar26!I4</f>
        <v/>
      </c>
    </row>
    <row r="5">
      <c r="A5" s="71" t="n">
        <v>6979</v>
      </c>
      <c r="B5" s="3">
        <f>ConsolidatedMHrequirementMar26!B5</f>
        <v/>
      </c>
      <c r="C5" s="3" t="n"/>
      <c r="D5" s="3" t="n"/>
      <c r="E5" s="3" t="n"/>
      <c r="F5" s="41">
        <f>VLOOKUP(A5,ConsolidatedMHrequirementMar26!$A$4:$K$55,4,FALSE)</f>
        <v/>
      </c>
      <c r="G5" s="3">
        <f>ConsolidatedMHrequirementMar26!F5</f>
        <v/>
      </c>
      <c r="H5" s="3">
        <f>ConsolidatedMHrequirementMar26!E5</f>
        <v/>
      </c>
      <c r="I5" s="3">
        <f>ConsolidatedMHrequirementMar26!G5</f>
        <v/>
      </c>
      <c r="J5" s="41">
        <f>VLOOKUP(A5,ConsolidatedMHrequirementMar26!$A$4:$K$55,8,FALSE)</f>
        <v/>
      </c>
      <c r="K5" s="3" t="n">
        <v>0</v>
      </c>
      <c r="L5" s="3">
        <f>J5-K5</f>
        <v/>
      </c>
      <c r="M5" s="69">
        <f>ConsolidatedMHrequirementMar26!I5</f>
        <v/>
      </c>
      <c r="N5" s="69" t="n"/>
      <c r="O5" s="69" t="n"/>
      <c r="P5" s="69" t="n"/>
      <c r="Q5" s="69" t="n"/>
      <c r="R5" s="69" t="n"/>
      <c r="S5" s="69" t="n"/>
      <c r="T5" s="69" t="n"/>
    </row>
    <row r="6" ht="14.5" customFormat="1" customHeight="1" s="34">
      <c r="A6" s="71" t="n">
        <v>7716</v>
      </c>
      <c r="B6" s="3">
        <f>ConsolidatedMHrequirementMar26!B6</f>
        <v/>
      </c>
      <c r="C6" s="3" t="n"/>
      <c r="D6" s="3" t="n"/>
      <c r="E6" s="3" t="n"/>
      <c r="F6" s="41">
        <f>VLOOKUP(A6,ConsolidatedMHrequirementMar26!$A$4:$K$55,4,FALSE)</f>
        <v/>
      </c>
      <c r="G6" s="3">
        <f>ConsolidatedMHrequirementMar26!F6</f>
        <v/>
      </c>
      <c r="H6" s="3">
        <f>ConsolidatedMHrequirementMar26!E6</f>
        <v/>
      </c>
      <c r="I6" s="3">
        <f>ConsolidatedMHrequirementMar26!G6</f>
        <v/>
      </c>
      <c r="J6" s="41">
        <f>VLOOKUP(A6,ConsolidatedMHrequirementMar26!$A$4:$K$55,8,FALSE)</f>
        <v/>
      </c>
      <c r="K6" s="3" t="n">
        <v>0</v>
      </c>
      <c r="L6" s="3">
        <f>J6-K6</f>
        <v/>
      </c>
      <c r="M6" s="69">
        <f>ConsolidatedMHrequirementMar26!I6</f>
        <v/>
      </c>
      <c r="N6" s="69" t="n"/>
      <c r="O6" s="69" t="n"/>
      <c r="P6" s="69" t="n"/>
      <c r="Q6" s="69" t="n"/>
      <c r="R6" s="69" t="n"/>
      <c r="S6" s="69" t="n"/>
      <c r="T6" s="69" t="n"/>
    </row>
    <row r="7" ht="14.5" customFormat="1" customHeight="1" s="34">
      <c r="A7" s="71" t="n">
        <v>8518</v>
      </c>
      <c r="B7" s="3">
        <f>ConsolidatedMHrequirementMar26!B7</f>
        <v/>
      </c>
      <c r="C7" s="3" t="n"/>
      <c r="D7" s="3" t="n"/>
      <c r="E7" s="3" t="n"/>
      <c r="F7" s="41">
        <f>VLOOKUP(A7,ConsolidatedMHrequirementMar26!$A$4:$K$55,4,FALSE)</f>
        <v/>
      </c>
      <c r="G7" s="3">
        <f>ConsolidatedMHrequirementMar26!F7</f>
        <v/>
      </c>
      <c r="H7" s="3">
        <f>ConsolidatedMHrequirementMar26!E7</f>
        <v/>
      </c>
      <c r="I7" s="3">
        <f>ConsolidatedMHrequirementMar26!G7</f>
        <v/>
      </c>
      <c r="J7" s="41">
        <f>VLOOKUP(A7,ConsolidatedMHrequirementMar26!$A$4:$K$55,8,FALSE)</f>
        <v/>
      </c>
      <c r="K7" s="3" t="n">
        <v>0</v>
      </c>
      <c r="L7" s="3">
        <f>J7-K7</f>
        <v/>
      </c>
      <c r="M7" s="69">
        <f>ConsolidatedMHrequirementMar26!I7</f>
        <v/>
      </c>
      <c r="N7" s="69" t="n"/>
      <c r="O7" s="69" t="n"/>
      <c r="P7" s="69" t="n"/>
      <c r="Q7" s="69" t="n"/>
      <c r="R7" s="69" t="n"/>
      <c r="S7" s="69" t="n"/>
      <c r="T7" s="69" t="n"/>
    </row>
    <row r="8" ht="14.5" customFormat="1" customHeight="1" s="34">
      <c r="A8" s="71" t="n">
        <v>8590</v>
      </c>
      <c r="B8" s="3">
        <f>ConsolidatedMHrequirementMar26!B8</f>
        <v/>
      </c>
      <c r="C8" s="3" t="n"/>
      <c r="D8" s="3" t="n"/>
      <c r="E8" s="3" t="n"/>
      <c r="F8" s="41">
        <f>VLOOKUP(A8,ConsolidatedMHrequirementMar26!$A$4:$K$55,4,FALSE)</f>
        <v/>
      </c>
      <c r="G8" s="3">
        <f>ConsolidatedMHrequirementMar26!F8</f>
        <v/>
      </c>
      <c r="H8" s="3">
        <f>ConsolidatedMHrequirementMar26!E8</f>
        <v/>
      </c>
      <c r="I8" s="3">
        <f>ConsolidatedMHrequirementMar26!G8</f>
        <v/>
      </c>
      <c r="J8" s="41">
        <f>VLOOKUP(A8,ConsolidatedMHrequirementMar26!$A$4:$K$55,8,FALSE)</f>
        <v/>
      </c>
      <c r="K8" s="3" t="n">
        <v>0</v>
      </c>
      <c r="L8" s="3">
        <f>J8-K8</f>
        <v/>
      </c>
      <c r="M8" s="69">
        <f>ConsolidatedMHrequirementMar26!I8</f>
        <v/>
      </c>
      <c r="N8" s="69" t="n"/>
      <c r="O8" s="69" t="n"/>
      <c r="P8" s="69" t="n"/>
      <c r="Q8" s="69" t="n"/>
      <c r="R8" s="69" t="n"/>
      <c r="S8" s="69" t="n"/>
      <c r="T8" s="69" t="n"/>
    </row>
    <row r="9" customFormat="1" s="34">
      <c r="A9" s="10" t="inlineStr">
        <is>
          <t>B016</t>
        </is>
      </c>
      <c r="B9" s="3">
        <f>ConsolidatedMHrequirementMar26!B9</f>
        <v/>
      </c>
      <c r="C9" s="3" t="n"/>
      <c r="D9" s="3" t="n"/>
      <c r="E9" s="3" t="n"/>
      <c r="F9" s="41">
        <f>VLOOKUP(A9,ConsolidatedMHrequirementMar26!$A$4:$K$55,4,FALSE)</f>
        <v/>
      </c>
      <c r="G9" s="3">
        <f>ConsolidatedMHrequirementMar26!F9</f>
        <v/>
      </c>
      <c r="H9" s="3">
        <f>ConsolidatedMHrequirementMar26!E9</f>
        <v/>
      </c>
      <c r="I9" s="3">
        <f>ConsolidatedMHrequirementMar26!G9</f>
        <v/>
      </c>
      <c r="J9" s="41">
        <f>VLOOKUP(A9,ConsolidatedMHrequirementMar26!$A$4:$K$55,8,FALSE)</f>
        <v/>
      </c>
      <c r="K9" s="3" t="n">
        <v>0</v>
      </c>
      <c r="L9" s="3">
        <f>J9-K9</f>
        <v/>
      </c>
      <c r="M9" s="69">
        <f>ConsolidatedMHrequirementMar26!I9</f>
        <v/>
      </c>
      <c r="N9" s="69" t="n"/>
      <c r="O9" s="69" t="n"/>
      <c r="P9" s="69" t="n"/>
      <c r="Q9" s="69" t="n"/>
      <c r="R9" s="69" t="n"/>
      <c r="S9" s="69" t="n"/>
      <c r="T9" s="69" t="n"/>
    </row>
    <row r="10" ht="15" customFormat="1" customHeight="1" s="34">
      <c r="A10" s="10" t="inlineStr">
        <is>
          <t>B035</t>
        </is>
      </c>
      <c r="B10" s="3">
        <f>ConsolidatedMHrequirementMar26!B10</f>
        <v/>
      </c>
      <c r="C10" s="3" t="n"/>
      <c r="D10" s="3" t="n"/>
      <c r="E10" s="3" t="n"/>
      <c r="F10" s="41">
        <f>VLOOKUP(A10,ConsolidatedMHrequirementMar26!$A$4:$K$55,4,FALSE)</f>
        <v/>
      </c>
      <c r="G10" s="3">
        <f>ConsolidatedMHrequirementMar26!F10</f>
        <v/>
      </c>
      <c r="H10" s="3">
        <f>ConsolidatedMHrequirementMar26!E10</f>
        <v/>
      </c>
      <c r="I10" s="3">
        <f>ConsolidatedMHrequirementMar26!G10</f>
        <v/>
      </c>
      <c r="J10" s="41">
        <f>VLOOKUP(A10,ConsolidatedMHrequirementMar26!$A$4:$K$55,8,FALSE)</f>
        <v/>
      </c>
      <c r="K10" s="3" t="n">
        <v>0</v>
      </c>
      <c r="L10" s="3">
        <f>J10-K10</f>
        <v/>
      </c>
      <c r="M10" s="69">
        <f>ConsolidatedMHrequirementMar26!I10</f>
        <v/>
      </c>
      <c r="N10" s="69" t="n"/>
      <c r="O10" s="69" t="n"/>
      <c r="P10" s="69" t="n"/>
      <c r="Q10" s="69" t="n"/>
      <c r="R10" s="69" t="n"/>
      <c r="S10" s="69" t="n"/>
      <c r="T10" s="69" t="n"/>
    </row>
    <row r="11" ht="16.5" customFormat="1" customHeight="1" s="34">
      <c r="A11" s="10" t="inlineStr">
        <is>
          <t>B038</t>
        </is>
      </c>
      <c r="B11" s="3">
        <f>ConsolidatedMHrequirementMar26!B11</f>
        <v/>
      </c>
      <c r="C11" s="3" t="n"/>
      <c r="D11" s="3" t="n"/>
      <c r="E11" s="3" t="n"/>
      <c r="F11" s="41">
        <f>VLOOKUP(A11,ConsolidatedMHrequirementMar26!$A$4:$K$55,4,FALSE)</f>
        <v/>
      </c>
      <c r="G11" s="3">
        <f>ConsolidatedMHrequirementMar26!F11</f>
        <v/>
      </c>
      <c r="H11" s="3">
        <f>ConsolidatedMHrequirementMar26!E11</f>
        <v/>
      </c>
      <c r="I11" s="3">
        <f>ConsolidatedMHrequirementMar26!G11</f>
        <v/>
      </c>
      <c r="J11" s="41">
        <f>VLOOKUP(A11,ConsolidatedMHrequirementMar26!$A$4:$K$55,8,FALSE)</f>
        <v/>
      </c>
      <c r="K11" s="3" t="n">
        <v>0</v>
      </c>
      <c r="L11" s="3">
        <f>J11-K11</f>
        <v/>
      </c>
      <c r="M11" s="69">
        <f>ConsolidatedMHrequirementMar26!I11</f>
        <v/>
      </c>
      <c r="N11" s="69" t="n"/>
      <c r="O11" s="69" t="n"/>
      <c r="P11" s="69" t="n"/>
      <c r="Q11" s="69" t="n"/>
      <c r="R11" s="69" t="n"/>
      <c r="S11" s="69" t="n"/>
      <c r="T11" s="69" t="n"/>
      <c r="V11" s="34" t="inlineStr">
        <is>
          <t xml:space="preserve"> </t>
        </is>
      </c>
      <c r="X11" s="34" t="inlineStr">
        <is>
          <t xml:space="preserve"> </t>
        </is>
      </c>
    </row>
    <row r="12" customFormat="1" s="34">
      <c r="A12" s="10" t="inlineStr">
        <is>
          <t>B058</t>
        </is>
      </c>
      <c r="B12" s="3">
        <f>ConsolidatedMHrequirementMar26!B12</f>
        <v/>
      </c>
      <c r="C12" s="3" t="n"/>
      <c r="D12" s="3" t="n"/>
      <c r="E12" s="3" t="n"/>
      <c r="F12" s="41">
        <f>VLOOKUP(A12,ConsolidatedMHrequirementMar26!$A$4:$K$55,4,FALSE)</f>
        <v/>
      </c>
      <c r="G12" s="3">
        <f>ConsolidatedMHrequirementMar26!F12</f>
        <v/>
      </c>
      <c r="H12" s="3">
        <f>ConsolidatedMHrequirementMar26!E12</f>
        <v/>
      </c>
      <c r="I12" s="3">
        <f>ConsolidatedMHrequirementMar26!G12</f>
        <v/>
      </c>
      <c r="J12" s="41">
        <f>VLOOKUP(A12,ConsolidatedMHrequirementMar26!$A$4:$K$55,8,FALSE)</f>
        <v/>
      </c>
      <c r="K12" s="3" t="n">
        <v>0</v>
      </c>
      <c r="L12" s="3">
        <f>J12-K12</f>
        <v/>
      </c>
      <c r="M12" s="69">
        <f>ConsolidatedMHrequirementMar26!I12</f>
        <v/>
      </c>
      <c r="N12" s="69" t="n"/>
      <c r="O12" s="69" t="n"/>
      <c r="P12" s="69" t="n"/>
      <c r="Q12" s="69" t="n"/>
      <c r="R12" s="69" t="n"/>
      <c r="S12" s="69" t="n"/>
      <c r="T12" s="69" t="n"/>
    </row>
    <row r="13" ht="15" customFormat="1" customHeight="1" s="34">
      <c r="A13" s="10" t="inlineStr">
        <is>
          <t>B224</t>
        </is>
      </c>
      <c r="B13" s="3">
        <f>ConsolidatedMHrequirementMar26!B13</f>
        <v/>
      </c>
      <c r="C13" s="3" t="n"/>
      <c r="D13" s="3" t="n"/>
      <c r="E13" s="3" t="n"/>
      <c r="F13" s="41">
        <f>VLOOKUP(A13,ConsolidatedMHrequirementMar26!$A$4:$K$55,4,FALSE)</f>
        <v/>
      </c>
      <c r="G13" s="3">
        <f>ConsolidatedMHrequirementMar26!F13</f>
        <v/>
      </c>
      <c r="H13" s="3">
        <f>ConsolidatedMHrequirementMar26!E13</f>
        <v/>
      </c>
      <c r="I13" s="3">
        <f>ConsolidatedMHrequirementMar26!G13</f>
        <v/>
      </c>
      <c r="J13" s="41">
        <f>VLOOKUP(A13,ConsolidatedMHrequirementMar26!$A$4:$K$55,8,FALSE)</f>
        <v/>
      </c>
      <c r="K13" s="3" t="n">
        <v>0</v>
      </c>
      <c r="L13" s="3">
        <f>J13-K13</f>
        <v/>
      </c>
      <c r="M13" s="69">
        <f>ConsolidatedMHrequirementMar26!I13</f>
        <v/>
      </c>
      <c r="N13" s="69" t="n"/>
      <c r="O13" s="69" t="n"/>
      <c r="P13" s="69" t="n"/>
      <c r="Q13" s="69" t="n"/>
      <c r="R13" s="69" t="n"/>
      <c r="S13" s="69" t="n"/>
      <c r="T13" s="69" t="n"/>
    </row>
    <row r="14" customFormat="1" s="34">
      <c r="A14" s="10" t="inlineStr">
        <is>
          <t>B229</t>
        </is>
      </c>
      <c r="B14" s="3">
        <f>ConsolidatedMHrequirementMar26!B14</f>
        <v/>
      </c>
      <c r="C14" s="3" t="n"/>
      <c r="D14" s="3" t="n"/>
      <c r="E14" s="3" t="n"/>
      <c r="F14" s="41">
        <f>VLOOKUP(A14,ConsolidatedMHrequirementMar26!$A$4:$K$55,4,FALSE)</f>
        <v/>
      </c>
      <c r="G14" s="3">
        <f>ConsolidatedMHrequirementMar26!F14</f>
        <v/>
      </c>
      <c r="H14" s="3">
        <f>ConsolidatedMHrequirementMar26!E14</f>
        <v/>
      </c>
      <c r="I14" s="3">
        <f>ConsolidatedMHrequirementMar26!G14</f>
        <v/>
      </c>
      <c r="J14" s="41">
        <f>VLOOKUP(A14,ConsolidatedMHrequirementMar26!$A$4:$K$55,8,FALSE)</f>
        <v/>
      </c>
      <c r="K14" s="3" t="n">
        <v>0</v>
      </c>
      <c r="L14" s="3">
        <f>J14-K14</f>
        <v/>
      </c>
      <c r="M14" s="69">
        <f>ConsolidatedMHrequirementMar26!I14</f>
        <v/>
      </c>
      <c r="N14" s="69" t="n"/>
      <c r="O14" s="69" t="n"/>
      <c r="P14" s="69" t="n"/>
      <c r="Q14" s="69" t="n"/>
      <c r="R14" s="69" t="n"/>
      <c r="S14" s="69" t="n"/>
      <c r="T14" s="69" t="n"/>
    </row>
    <row r="15" ht="15" customFormat="1" customHeight="1" s="34">
      <c r="A15" s="10" t="inlineStr">
        <is>
          <t>B269</t>
        </is>
      </c>
      <c r="B15" s="3">
        <f>ConsolidatedMHrequirementMar26!B15</f>
        <v/>
      </c>
      <c r="C15" s="3" t="n"/>
      <c r="D15" s="3" t="n"/>
      <c r="E15" s="3" t="n"/>
      <c r="F15" s="41">
        <f>VLOOKUP(A15,ConsolidatedMHrequirementMar26!$A$4:$K$55,4,FALSE)</f>
        <v/>
      </c>
      <c r="G15" s="3">
        <f>ConsolidatedMHrequirementMar26!F15</f>
        <v/>
      </c>
      <c r="H15" s="3">
        <f>ConsolidatedMHrequirementMar26!E15</f>
        <v/>
      </c>
      <c r="I15" s="3">
        <f>ConsolidatedMHrequirementMar26!G15</f>
        <v/>
      </c>
      <c r="J15" s="41">
        <f>VLOOKUP(A15,ConsolidatedMHrequirementMar26!$A$4:$K$55,8,FALSE)</f>
        <v/>
      </c>
      <c r="K15" s="3" t="n">
        <v>0</v>
      </c>
      <c r="L15" s="3">
        <f>J15-K15</f>
        <v/>
      </c>
      <c r="M15" s="69">
        <f>ConsolidatedMHrequirementMar26!I15</f>
        <v/>
      </c>
      <c r="N15" s="69" t="n"/>
      <c r="O15" s="69" t="n"/>
      <c r="P15" s="69" t="n"/>
      <c r="Q15" s="69" t="n"/>
      <c r="R15" s="69" t="n"/>
      <c r="S15" s="69" t="n"/>
      <c r="T15" s="69" t="n"/>
    </row>
    <row r="16" customFormat="1" s="34">
      <c r="A16" s="10" t="inlineStr">
        <is>
          <t>B285</t>
        </is>
      </c>
      <c r="B16" s="3">
        <f>ConsolidatedMHrequirementMar26!B16</f>
        <v/>
      </c>
      <c r="C16" s="3" t="n"/>
      <c r="D16" s="3" t="n"/>
      <c r="E16" s="3" t="n"/>
      <c r="F16" s="41">
        <f>VLOOKUP(A16,ConsolidatedMHrequirementMar26!$A$4:$K$55,4,FALSE)</f>
        <v/>
      </c>
      <c r="G16" s="3">
        <f>ConsolidatedMHrequirementMar26!F16</f>
        <v/>
      </c>
      <c r="H16" s="3">
        <f>ConsolidatedMHrequirementMar26!E16</f>
        <v/>
      </c>
      <c r="I16" s="3">
        <f>ConsolidatedMHrequirementMar26!G16</f>
        <v/>
      </c>
      <c r="J16" s="41">
        <f>VLOOKUP(A16,ConsolidatedMHrequirementMar26!$A$4:$K$55,8,FALSE)</f>
        <v/>
      </c>
      <c r="K16" s="3" t="n">
        <v>0</v>
      </c>
      <c r="L16" s="3">
        <f>J16-K16</f>
        <v/>
      </c>
      <c r="M16" s="69">
        <f>ConsolidatedMHrequirementMar26!I16</f>
        <v/>
      </c>
      <c r="N16" s="69" t="n"/>
      <c r="O16" s="69" t="n"/>
      <c r="P16" s="69" t="n"/>
      <c r="Q16" s="69" t="n"/>
      <c r="R16" s="69" t="n"/>
      <c r="S16" s="69" t="n"/>
      <c r="T16" s="69" t="n"/>
    </row>
    <row r="17" ht="15" customFormat="1" customHeight="1" s="34">
      <c r="A17" s="10" t="inlineStr">
        <is>
          <t>B297</t>
        </is>
      </c>
      <c r="B17" s="3">
        <f>ConsolidatedMHrequirementMar26!B17</f>
        <v/>
      </c>
      <c r="C17" s="3" t="n"/>
      <c r="D17" s="3" t="n"/>
      <c r="E17" s="3" t="n"/>
      <c r="F17" s="41">
        <f>VLOOKUP(A17,ConsolidatedMHrequirementMar26!$A$4:$K$55,4,FALSE)</f>
        <v/>
      </c>
      <c r="G17" s="3">
        <f>ConsolidatedMHrequirementMar26!F17</f>
        <v/>
      </c>
      <c r="H17" s="3">
        <f>ConsolidatedMHrequirementMar26!E17</f>
        <v/>
      </c>
      <c r="I17" s="3">
        <f>ConsolidatedMHrequirementMar26!G17</f>
        <v/>
      </c>
      <c r="J17" s="41">
        <f>VLOOKUP(A17,ConsolidatedMHrequirementMar26!$A$4:$K$55,8,FALSE)</f>
        <v/>
      </c>
      <c r="K17" s="3" t="n">
        <v>0</v>
      </c>
      <c r="L17" s="3">
        <f>J17-K17</f>
        <v/>
      </c>
      <c r="M17" s="69">
        <f>ConsolidatedMHrequirementMar26!I17</f>
        <v/>
      </c>
      <c r="N17" s="69" t="n"/>
      <c r="O17" s="69" t="n"/>
      <c r="P17" s="69" t="n"/>
      <c r="Q17" s="69" t="n"/>
      <c r="R17" s="69" t="n"/>
      <c r="S17" s="69" t="n"/>
      <c r="T17" s="69" t="n"/>
      <c r="V17" s="34" t="inlineStr">
        <is>
          <t xml:space="preserve"> </t>
        </is>
      </c>
      <c r="W17" s="34" t="inlineStr">
        <is>
          <t xml:space="preserve"> </t>
        </is>
      </c>
    </row>
    <row r="18" ht="14.5" customFormat="1" customHeight="1" s="34">
      <c r="A18" s="10" t="inlineStr">
        <is>
          <t>B302</t>
        </is>
      </c>
      <c r="B18" s="3">
        <f>ConsolidatedMHrequirementMar26!B18</f>
        <v/>
      </c>
      <c r="C18" s="3" t="n"/>
      <c r="D18" s="3" t="n"/>
      <c r="E18" s="3" t="n"/>
      <c r="F18" s="41">
        <f>VLOOKUP(A18,ConsolidatedMHrequirementMar26!$A$4:$K$55,4,FALSE)</f>
        <v/>
      </c>
      <c r="G18" s="3">
        <f>ConsolidatedMHrequirementMar26!F18</f>
        <v/>
      </c>
      <c r="H18" s="3">
        <f>ConsolidatedMHrequirementMar26!E18</f>
        <v/>
      </c>
      <c r="I18" s="3">
        <f>ConsolidatedMHrequirementMar26!G18</f>
        <v/>
      </c>
      <c r="J18" s="41">
        <f>VLOOKUP(A18,ConsolidatedMHrequirementMar26!$A$4:$K$55,8,FALSE)</f>
        <v/>
      </c>
      <c r="K18" s="3" t="n">
        <v>0</v>
      </c>
      <c r="L18" s="3">
        <f>J18-K18</f>
        <v/>
      </c>
      <c r="M18" s="69">
        <f>ConsolidatedMHrequirementMar26!I18</f>
        <v/>
      </c>
      <c r="N18" s="69" t="n"/>
      <c r="O18" s="69" t="n"/>
      <c r="P18" s="69" t="n"/>
      <c r="Q18" s="69" t="n"/>
      <c r="R18" s="69" t="n"/>
      <c r="S18" s="69" t="n"/>
      <c r="T18" s="69" t="n"/>
    </row>
    <row r="19" ht="15" customFormat="1" customHeight="1" s="34">
      <c r="A19" s="10" t="inlineStr">
        <is>
          <t>B348</t>
        </is>
      </c>
      <c r="B19" s="3">
        <f>ConsolidatedMHrequirementMar26!B19</f>
        <v/>
      </c>
      <c r="C19" s="3" t="n"/>
      <c r="D19" s="3" t="n"/>
      <c r="E19" s="3" t="n"/>
      <c r="F19" s="41">
        <f>VLOOKUP(A19,ConsolidatedMHrequirementMar26!$A$4:$K$55,4,FALSE)</f>
        <v/>
      </c>
      <c r="G19" s="3">
        <f>ConsolidatedMHrequirementMar26!F19</f>
        <v/>
      </c>
      <c r="H19" s="3">
        <f>ConsolidatedMHrequirementMar26!E19</f>
        <v/>
      </c>
      <c r="I19" s="3">
        <f>ConsolidatedMHrequirementMar26!G19</f>
        <v/>
      </c>
      <c r="J19" s="41">
        <f>VLOOKUP(A19,ConsolidatedMHrequirementMar26!$A$4:$K$55,8,FALSE)</f>
        <v/>
      </c>
      <c r="K19" s="3" t="n">
        <v>0</v>
      </c>
      <c r="L19" s="3">
        <f>J19-K19</f>
        <v/>
      </c>
      <c r="M19" s="69">
        <f>ConsolidatedMHrequirementMar26!I19</f>
        <v/>
      </c>
      <c r="N19" s="69" t="n"/>
      <c r="O19" s="69" t="n"/>
      <c r="P19" s="69" t="n"/>
      <c r="Q19" s="69" t="n"/>
      <c r="R19" s="69" t="n"/>
      <c r="S19" s="69" t="n"/>
      <c r="T19" s="69" t="n"/>
    </row>
    <row r="20" ht="15.5" customFormat="1" customHeight="1" s="34">
      <c r="A20" s="10" t="inlineStr">
        <is>
          <t>B359</t>
        </is>
      </c>
      <c r="B20" s="3">
        <f>ConsolidatedMHrequirementMar26!B20</f>
        <v/>
      </c>
      <c r="C20" s="3" t="n"/>
      <c r="D20" s="3" t="n"/>
      <c r="E20" s="3" t="n"/>
      <c r="F20" s="41">
        <f>VLOOKUP(A20,ConsolidatedMHrequirementMar26!$A$4:$K$55,4,FALSE)</f>
        <v/>
      </c>
      <c r="G20" s="3">
        <f>ConsolidatedMHrequirementMar26!F20</f>
        <v/>
      </c>
      <c r="H20" s="3">
        <f>ConsolidatedMHrequirementMar26!E20</f>
        <v/>
      </c>
      <c r="I20" s="3">
        <f>ConsolidatedMHrequirementMar26!G20</f>
        <v/>
      </c>
      <c r="J20" s="41">
        <f>VLOOKUP(A20,ConsolidatedMHrequirementMar26!$A$4:$K$55,8,FALSE)</f>
        <v/>
      </c>
      <c r="K20" s="3" t="n">
        <v>0</v>
      </c>
      <c r="L20" s="3">
        <f>J20-K20</f>
        <v/>
      </c>
      <c r="M20" s="69">
        <f>ConsolidatedMHrequirementMar26!I20</f>
        <v/>
      </c>
      <c r="N20" s="69" t="n"/>
      <c r="O20" s="69" t="n"/>
      <c r="P20" s="69" t="n"/>
      <c r="Q20" s="69" t="n"/>
      <c r="R20" s="69" t="n"/>
      <c r="S20" s="69" t="n"/>
      <c r="T20" s="69" t="n"/>
      <c r="V20" s="48" t="inlineStr">
        <is>
          <t xml:space="preserve"> </t>
        </is>
      </c>
      <c r="W20" s="48" t="inlineStr">
        <is>
          <t xml:space="preserve"> </t>
        </is>
      </c>
      <c r="X20" s="48" t="inlineStr">
        <is>
          <t xml:space="preserve"> </t>
        </is>
      </c>
      <c r="Y20" s="48" t="inlineStr">
        <is>
          <t xml:space="preserve"> </t>
        </is>
      </c>
    </row>
    <row r="21" ht="15" customFormat="1" customHeight="1" s="34">
      <c r="A21" s="10" t="inlineStr">
        <is>
          <t>B378</t>
        </is>
      </c>
      <c r="B21" s="3">
        <f>ConsolidatedMHrequirementMar26!B21</f>
        <v/>
      </c>
      <c r="C21" s="3" t="n"/>
      <c r="D21" s="3" t="n"/>
      <c r="E21" s="3" t="n"/>
      <c r="F21" s="41">
        <f>VLOOKUP(A21,ConsolidatedMHrequirementMar26!$A$4:$K$55,4,FALSE)</f>
        <v/>
      </c>
      <c r="G21" s="3">
        <f>ConsolidatedMHrequirementMar26!F21</f>
        <v/>
      </c>
      <c r="H21" s="3">
        <f>ConsolidatedMHrequirementMar26!E21</f>
        <v/>
      </c>
      <c r="I21" s="3">
        <f>ConsolidatedMHrequirementMar26!G21</f>
        <v/>
      </c>
      <c r="J21" s="41">
        <f>VLOOKUP(A21,ConsolidatedMHrequirementMar26!$A$4:$K$55,8,FALSE)</f>
        <v/>
      </c>
      <c r="K21" s="3" t="n">
        <v>0</v>
      </c>
      <c r="L21" s="3">
        <f>J21-K21</f>
        <v/>
      </c>
      <c r="M21" s="69">
        <f>ConsolidatedMHrequirementMar26!I21</f>
        <v/>
      </c>
      <c r="N21" s="69" t="n"/>
      <c r="O21" s="69" t="n"/>
      <c r="P21" s="69" t="n"/>
      <c r="Q21" s="69" t="n"/>
      <c r="R21" s="69" t="n"/>
      <c r="S21" s="69" t="n"/>
      <c r="T21" s="69" t="n"/>
    </row>
    <row r="22" ht="15" customFormat="1" customHeight="1" s="34">
      <c r="A22" s="10" t="inlineStr">
        <is>
          <t>B398</t>
        </is>
      </c>
      <c r="B22" s="3">
        <f>ConsolidatedMHrequirementMar26!B22</f>
        <v/>
      </c>
      <c r="C22" s="3" t="n"/>
      <c r="D22" s="3" t="n"/>
      <c r="E22" s="3" t="n"/>
      <c r="F22" s="41">
        <f>VLOOKUP(A22,ConsolidatedMHrequirementMar26!$A$4:$K$55,4,FALSE)</f>
        <v/>
      </c>
      <c r="G22" s="3">
        <f>ConsolidatedMHrequirementMar26!F22</f>
        <v/>
      </c>
      <c r="H22" s="3">
        <f>ConsolidatedMHrequirementMar26!E22</f>
        <v/>
      </c>
      <c r="I22" s="3">
        <f>ConsolidatedMHrequirementMar26!G22</f>
        <v/>
      </c>
      <c r="J22" s="41">
        <f>VLOOKUP(A22,ConsolidatedMHrequirementMar26!$A$4:$K$55,8,FALSE)</f>
        <v/>
      </c>
      <c r="K22" s="3" t="n">
        <v>0</v>
      </c>
      <c r="L22" s="3">
        <f>J22-K22</f>
        <v/>
      </c>
      <c r="M22" s="69">
        <f>ConsolidatedMHrequirementMar26!I22</f>
        <v/>
      </c>
      <c r="N22" s="69" t="n"/>
      <c r="O22" s="69" t="n"/>
      <c r="P22" s="69" t="n"/>
      <c r="Q22" s="69" t="n"/>
      <c r="R22" s="69" t="n"/>
      <c r="S22" s="69" t="n"/>
      <c r="T22" s="69" t="n"/>
    </row>
    <row r="23" ht="15" customFormat="1" customHeight="1" s="34">
      <c r="A23" s="10" t="inlineStr">
        <is>
          <t>B411</t>
        </is>
      </c>
      <c r="B23" s="3">
        <f>ConsolidatedMHrequirementMar26!B23</f>
        <v/>
      </c>
      <c r="C23" s="3" t="n"/>
      <c r="D23" s="3" t="n"/>
      <c r="E23" s="3" t="n"/>
      <c r="F23" s="41">
        <f>VLOOKUP(A23,ConsolidatedMHrequirementMar26!$A$4:$K$55,4,FALSE)</f>
        <v/>
      </c>
      <c r="G23" s="3">
        <f>ConsolidatedMHrequirementMar26!F23</f>
        <v/>
      </c>
      <c r="H23" s="3">
        <f>ConsolidatedMHrequirementMar26!E23</f>
        <v/>
      </c>
      <c r="I23" s="3">
        <f>ConsolidatedMHrequirementMar26!G23</f>
        <v/>
      </c>
      <c r="J23" s="41">
        <f>VLOOKUP(A23,ConsolidatedMHrequirementMar26!$A$4:$K$55,8,FALSE)</f>
        <v/>
      </c>
      <c r="K23" s="3" t="n">
        <v>0</v>
      </c>
      <c r="L23" s="3">
        <f>J23-K23</f>
        <v/>
      </c>
      <c r="M23" s="69">
        <f>ConsolidatedMHrequirementMar26!I23</f>
        <v/>
      </c>
      <c r="N23" s="69" t="n"/>
      <c r="O23" s="69" t="n"/>
      <c r="P23" s="69" t="n"/>
      <c r="Q23" s="69" t="n"/>
      <c r="R23" s="69" t="n"/>
      <c r="S23" s="69" t="n"/>
      <c r="T23" s="69" t="n"/>
    </row>
    <row r="24" ht="15" customFormat="1" customHeight="1" s="34">
      <c r="A24" s="10" t="inlineStr">
        <is>
          <t>B414</t>
        </is>
      </c>
      <c r="B24" s="3">
        <f>ConsolidatedMHrequirementMar26!B24</f>
        <v/>
      </c>
      <c r="C24" s="3" t="n"/>
      <c r="D24" s="3" t="n"/>
      <c r="E24" s="3" t="n"/>
      <c r="F24" s="41">
        <f>VLOOKUP(A24,ConsolidatedMHrequirementMar26!$A$4:$K$55,4,FALSE)</f>
        <v/>
      </c>
      <c r="G24" s="3">
        <f>ConsolidatedMHrequirementMar26!F24</f>
        <v/>
      </c>
      <c r="H24" s="3">
        <f>ConsolidatedMHrequirementMar26!E24</f>
        <v/>
      </c>
      <c r="I24" s="3">
        <f>ConsolidatedMHrequirementMar26!G24</f>
        <v/>
      </c>
      <c r="J24" s="41">
        <f>VLOOKUP(A24,ConsolidatedMHrequirementMar26!$A$4:$K$55,8,FALSE)</f>
        <v/>
      </c>
      <c r="K24" s="3" t="n">
        <v>0</v>
      </c>
      <c r="L24" s="3">
        <f>J24-K24</f>
        <v/>
      </c>
      <c r="M24" s="69">
        <f>ConsolidatedMHrequirementMar26!I24</f>
        <v/>
      </c>
      <c r="N24" s="69" t="n"/>
      <c r="O24" s="69" t="n"/>
      <c r="P24" s="69" t="n"/>
      <c r="Q24" s="69" t="n"/>
      <c r="R24" s="69" t="n"/>
      <c r="S24" s="69" t="n"/>
      <c r="T24" s="69" t="n"/>
      <c r="V24" s="48" t="n"/>
      <c r="W24" s="48" t="n"/>
      <c r="X24" s="48" t="n"/>
      <c r="Y24" s="48" t="n"/>
    </row>
    <row r="25" ht="15" customFormat="1" customHeight="1" s="34">
      <c r="A25" s="10" t="inlineStr">
        <is>
          <t>B436</t>
        </is>
      </c>
      <c r="B25" s="3">
        <f>ConsolidatedMHrequirementMar26!B25</f>
        <v/>
      </c>
      <c r="C25" s="3" t="n"/>
      <c r="D25" s="3" t="n"/>
      <c r="E25" s="3" t="n"/>
      <c r="F25" s="41">
        <f>VLOOKUP(A25,ConsolidatedMHrequirementMar26!$A$4:$K$55,4,FALSE)</f>
        <v/>
      </c>
      <c r="G25" s="3">
        <f>ConsolidatedMHrequirementMar26!F25</f>
        <v/>
      </c>
      <c r="H25" s="3">
        <f>ConsolidatedMHrequirementMar26!E25</f>
        <v/>
      </c>
      <c r="I25" s="3">
        <f>ConsolidatedMHrequirementMar26!G25</f>
        <v/>
      </c>
      <c r="J25" s="41">
        <f>VLOOKUP(A25,ConsolidatedMHrequirementMar26!$A$4:$K$55,8,FALSE)</f>
        <v/>
      </c>
      <c r="K25" s="3" t="n">
        <v>0</v>
      </c>
      <c r="L25" s="3">
        <f>J25-K25</f>
        <v/>
      </c>
      <c r="M25" s="69">
        <f>ConsolidatedMHrequirementMar26!I25</f>
        <v/>
      </c>
      <c r="N25" s="69" t="n"/>
      <c r="O25" s="69" t="n"/>
      <c r="P25" s="69" t="n"/>
      <c r="Q25" s="69" t="n"/>
      <c r="R25" s="69" t="n"/>
      <c r="S25" s="69" t="n"/>
      <c r="T25" s="69" t="n"/>
      <c r="V25" s="48" t="n"/>
      <c r="W25" s="48" t="n"/>
      <c r="X25" s="48" t="n"/>
      <c r="Y25" s="48" t="n"/>
    </row>
    <row r="26" ht="15" customFormat="1" customHeight="1" s="34">
      <c r="A26" s="10" t="inlineStr">
        <is>
          <t>B440</t>
        </is>
      </c>
      <c r="B26" s="3">
        <f>ConsolidatedMHrequirementMar26!B26</f>
        <v/>
      </c>
      <c r="C26" s="3" t="n"/>
      <c r="D26" s="3" t="n"/>
      <c r="E26" s="3" t="n"/>
      <c r="F26" s="41">
        <f>VLOOKUP(A26,ConsolidatedMHrequirementMar26!$A$4:$K$55,4,FALSE)</f>
        <v/>
      </c>
      <c r="G26" s="3">
        <f>ConsolidatedMHrequirementMar26!F26</f>
        <v/>
      </c>
      <c r="H26" s="3">
        <f>ConsolidatedMHrequirementMar26!E26</f>
        <v/>
      </c>
      <c r="I26" s="3">
        <f>ConsolidatedMHrequirementMar26!G26</f>
        <v/>
      </c>
      <c r="J26" s="41">
        <f>VLOOKUP(A26,ConsolidatedMHrequirementMar26!$A$4:$K$55,8,FALSE)</f>
        <v/>
      </c>
      <c r="K26" s="3" t="n">
        <v>0</v>
      </c>
      <c r="L26" s="3">
        <f>J26-K26</f>
        <v/>
      </c>
      <c r="M26" s="69">
        <f>ConsolidatedMHrequirementMar26!I26</f>
        <v/>
      </c>
      <c r="N26" s="69" t="n"/>
      <c r="O26" s="69" t="n"/>
      <c r="P26" s="69" t="n"/>
      <c r="Q26" s="69" t="n"/>
      <c r="R26" s="69" t="n"/>
      <c r="S26" s="69" t="n"/>
      <c r="T26" s="69" t="n"/>
      <c r="V26" s="48" t="n"/>
      <c r="W26" s="48" t="n"/>
      <c r="X26" s="48" t="n"/>
      <c r="Y26" s="48" t="n"/>
    </row>
    <row r="27" ht="15" customFormat="1" customHeight="1" s="34">
      <c r="A27" s="10" t="inlineStr">
        <is>
          <t>B448</t>
        </is>
      </c>
      <c r="B27" s="3">
        <f>ConsolidatedMHrequirementMar26!B27</f>
        <v/>
      </c>
      <c r="C27" s="3" t="n"/>
      <c r="D27" s="3" t="n"/>
      <c r="E27" s="3" t="n"/>
      <c r="F27" s="41">
        <f>VLOOKUP(A27,ConsolidatedMHrequirementMar26!$A$4:$K$55,4,FALSE)</f>
        <v/>
      </c>
      <c r="G27" s="3">
        <f>ConsolidatedMHrequirementMar26!F27</f>
        <v/>
      </c>
      <c r="H27" s="3">
        <f>ConsolidatedMHrequirementMar26!E27</f>
        <v/>
      </c>
      <c r="I27" s="3">
        <f>ConsolidatedMHrequirementMar26!G27</f>
        <v/>
      </c>
      <c r="J27" s="41">
        <f>VLOOKUP(A27,ConsolidatedMHrequirementMar26!$A$4:$K$55,8,FALSE)</f>
        <v/>
      </c>
      <c r="K27" s="3" t="n">
        <v>0</v>
      </c>
      <c r="L27" s="3">
        <f>J27-K27</f>
        <v/>
      </c>
      <c r="M27" s="69">
        <f>ConsolidatedMHrequirementMar26!I27</f>
        <v/>
      </c>
      <c r="N27" s="69" t="n"/>
      <c r="O27" s="69" t="n"/>
      <c r="P27" s="69" t="n"/>
      <c r="Q27" s="69" t="n"/>
      <c r="R27" s="69" t="n"/>
      <c r="S27" s="69" t="n"/>
      <c r="T27" s="69" t="n"/>
      <c r="V27" s="34" t="inlineStr">
        <is>
          <t xml:space="preserve"> </t>
        </is>
      </c>
      <c r="W27" s="34" t="inlineStr">
        <is>
          <t xml:space="preserve"> </t>
        </is>
      </c>
      <c r="X27" s="34" t="inlineStr">
        <is>
          <t xml:space="preserve"> </t>
        </is>
      </c>
      <c r="Y27" s="34" t="inlineStr">
        <is>
          <t xml:space="preserve"> </t>
        </is>
      </c>
    </row>
    <row r="28" ht="15" customFormat="1" customHeight="1" s="34">
      <c r="A28" s="10" t="inlineStr">
        <is>
          <t>B519</t>
        </is>
      </c>
      <c r="B28" s="3">
        <f>ConsolidatedMHrequirementMar26!B28</f>
        <v/>
      </c>
      <c r="C28" s="3" t="n"/>
      <c r="D28" s="3" t="n"/>
      <c r="E28" s="3" t="n"/>
      <c r="F28" s="41">
        <f>VLOOKUP(A28,ConsolidatedMHrequirementMar26!$A$4:$K$55,4,FALSE)</f>
        <v/>
      </c>
      <c r="G28" s="3">
        <f>ConsolidatedMHrequirementMar26!F28</f>
        <v/>
      </c>
      <c r="H28" s="3">
        <f>ConsolidatedMHrequirementMar26!E28</f>
        <v/>
      </c>
      <c r="I28" s="3">
        <f>ConsolidatedMHrequirementMar26!G28</f>
        <v/>
      </c>
      <c r="J28" s="41">
        <f>VLOOKUP(A28,ConsolidatedMHrequirementMar26!$A$4:$K$55,8,FALSE)</f>
        <v/>
      </c>
      <c r="K28" s="3" t="n">
        <v>0</v>
      </c>
      <c r="L28" s="3">
        <f>J28-K28</f>
        <v/>
      </c>
      <c r="M28" s="69">
        <f>ConsolidatedMHrequirementMar26!I28</f>
        <v/>
      </c>
      <c r="N28" s="69" t="n"/>
      <c r="O28" s="69" t="n"/>
      <c r="P28" s="69" t="n"/>
      <c r="Q28" s="69" t="n"/>
      <c r="R28" s="69" t="n"/>
      <c r="S28" s="69" t="n"/>
      <c r="T28" s="69" t="n"/>
      <c r="V28" s="34" t="inlineStr">
        <is>
          <t xml:space="preserve"> </t>
        </is>
      </c>
      <c r="W28" s="34" t="inlineStr">
        <is>
          <t xml:space="preserve"> </t>
        </is>
      </c>
    </row>
    <row r="29">
      <c r="A29" s="10" t="inlineStr">
        <is>
          <t>B548</t>
        </is>
      </c>
      <c r="B29" s="3">
        <f>ConsolidatedMHrequirementMar26!B29</f>
        <v/>
      </c>
      <c r="C29" s="3" t="n"/>
      <c r="D29" s="3" t="n"/>
      <c r="E29" s="3" t="n"/>
      <c r="F29" s="41">
        <f>VLOOKUP(A29,ConsolidatedMHrequirementMar26!$A$4:$K$55,4,FALSE)</f>
        <v/>
      </c>
      <c r="G29" s="3">
        <f>ConsolidatedMHrequirementMar26!F29</f>
        <v/>
      </c>
      <c r="H29" s="3">
        <f>ConsolidatedMHrequirementMar26!E29</f>
        <v/>
      </c>
      <c r="I29" s="3">
        <f>ConsolidatedMHrequirementMar26!G29</f>
        <v/>
      </c>
      <c r="J29" s="41">
        <f>VLOOKUP(A29,ConsolidatedMHrequirementMar26!$A$4:$K$55,8,FALSE)</f>
        <v/>
      </c>
      <c r="K29" s="3" t="n">
        <v>0</v>
      </c>
      <c r="L29" s="3">
        <f>J29-K29</f>
        <v/>
      </c>
      <c r="M29" s="69">
        <f>ConsolidatedMHrequirementMar26!I29</f>
        <v/>
      </c>
      <c r="N29" s="69" t="n"/>
      <c r="O29" s="69" t="n"/>
      <c r="P29" s="69" t="n"/>
      <c r="Q29" s="69" t="n"/>
      <c r="R29" s="69" t="n"/>
      <c r="S29" s="69" t="n"/>
      <c r="T29" s="69" t="n"/>
    </row>
    <row r="30" ht="15" customFormat="1" customHeight="1" s="34">
      <c r="A30" s="10" t="inlineStr">
        <is>
          <t>B559</t>
        </is>
      </c>
      <c r="B30" s="3">
        <f>ConsolidatedMHrequirementMar26!B30</f>
        <v/>
      </c>
      <c r="C30" s="3" t="n"/>
      <c r="D30" s="3" t="n"/>
      <c r="E30" s="3" t="n"/>
      <c r="F30" s="41">
        <f>VLOOKUP(A30,ConsolidatedMHrequirementMar26!$A$4:$K$55,4,FALSE)</f>
        <v/>
      </c>
      <c r="G30" s="3">
        <f>ConsolidatedMHrequirementMar26!F30</f>
        <v/>
      </c>
      <c r="H30" s="3">
        <f>ConsolidatedMHrequirementMar26!E30</f>
        <v/>
      </c>
      <c r="I30" s="3">
        <f>ConsolidatedMHrequirementMar26!G30</f>
        <v/>
      </c>
      <c r="J30" s="41">
        <f>VLOOKUP(A30,ConsolidatedMHrequirementMar26!$A$4:$K$55,8,FALSE)</f>
        <v/>
      </c>
      <c r="K30" s="3" t="n">
        <v>0</v>
      </c>
      <c r="L30" s="3">
        <f>J30-K30</f>
        <v/>
      </c>
      <c r="M30" s="69">
        <f>ConsolidatedMHrequirementMar26!I30</f>
        <v/>
      </c>
      <c r="N30" s="69" t="n"/>
      <c r="O30" s="69" t="n"/>
      <c r="P30" s="69" t="n"/>
      <c r="Q30" s="69" t="n"/>
      <c r="R30" s="69" t="n"/>
      <c r="S30" s="69" t="n"/>
      <c r="T30" s="69" t="n"/>
    </row>
    <row r="31" ht="15" customFormat="1" customHeight="1" s="34">
      <c r="A31" s="10" t="inlineStr">
        <is>
          <t>B560</t>
        </is>
      </c>
      <c r="B31" s="3">
        <f>ConsolidatedMHrequirementMar26!B31</f>
        <v/>
      </c>
      <c r="C31" s="3" t="n"/>
      <c r="D31" s="3" t="n"/>
      <c r="E31" s="3" t="n"/>
      <c r="F31" s="41">
        <f>VLOOKUP(A31,ConsolidatedMHrequirementMar26!$A$4:$K$55,4,FALSE)</f>
        <v/>
      </c>
      <c r="G31" s="3">
        <f>ConsolidatedMHrequirementMar26!F31</f>
        <v/>
      </c>
      <c r="H31" s="3">
        <f>ConsolidatedMHrequirementMar26!E31</f>
        <v/>
      </c>
      <c r="I31" s="3">
        <f>ConsolidatedMHrequirementMar26!G31</f>
        <v/>
      </c>
      <c r="J31" s="41">
        <f>VLOOKUP(A31,ConsolidatedMHrequirementMar26!$A$4:$K$55,8,FALSE)</f>
        <v/>
      </c>
      <c r="K31" s="3" t="n">
        <v>0</v>
      </c>
      <c r="L31" s="3">
        <f>J31-K31</f>
        <v/>
      </c>
      <c r="M31" s="69">
        <f>ConsolidatedMHrequirementMar26!I31</f>
        <v/>
      </c>
      <c r="N31" s="69" t="n"/>
      <c r="O31" s="69" t="n"/>
      <c r="P31" s="69" t="n"/>
      <c r="Q31" s="69" t="n"/>
      <c r="R31" s="69" t="n"/>
      <c r="S31" s="69" t="n"/>
      <c r="T31" s="69" t="n"/>
    </row>
    <row r="32" ht="15" customFormat="1" customHeight="1" s="34">
      <c r="A32" s="10" t="inlineStr">
        <is>
          <t>B571</t>
        </is>
      </c>
      <c r="B32" s="3">
        <f>ConsolidatedMHrequirementMar26!B32</f>
        <v/>
      </c>
      <c r="C32" s="3" t="n"/>
      <c r="D32" s="3" t="n"/>
      <c r="E32" s="3" t="n"/>
      <c r="F32" s="41">
        <f>VLOOKUP(A32,ConsolidatedMHrequirementMar26!$A$4:$K$55,4,FALSE)</f>
        <v/>
      </c>
      <c r="G32" s="3">
        <f>ConsolidatedMHrequirementMar26!F32</f>
        <v/>
      </c>
      <c r="H32" s="3">
        <f>ConsolidatedMHrequirementMar26!E32</f>
        <v/>
      </c>
      <c r="I32" s="3">
        <f>ConsolidatedMHrequirementMar26!G32</f>
        <v/>
      </c>
      <c r="J32" s="41">
        <f>VLOOKUP(A32,ConsolidatedMHrequirementMar26!$A$4:$K$55,8,FALSE)</f>
        <v/>
      </c>
      <c r="K32" s="3" t="n">
        <v>0</v>
      </c>
      <c r="L32" s="3">
        <f>J32-K32</f>
        <v/>
      </c>
      <c r="M32" s="69">
        <f>ConsolidatedMHrequirementMar26!I32</f>
        <v/>
      </c>
      <c r="N32" s="69" t="n"/>
      <c r="O32" s="69" t="n"/>
      <c r="P32" s="69" t="n"/>
      <c r="Q32" s="69" t="n"/>
      <c r="R32" s="69" t="n"/>
      <c r="S32" s="69" t="n"/>
      <c r="T32" s="69" t="n"/>
    </row>
    <row r="33">
      <c r="A33" s="10" t="inlineStr">
        <is>
          <t>B589</t>
        </is>
      </c>
      <c r="B33" s="3">
        <f>ConsolidatedMHrequirementMar26!B33</f>
        <v/>
      </c>
      <c r="C33" s="3" t="n"/>
      <c r="D33" s="3" t="n"/>
      <c r="E33" s="3" t="n"/>
      <c r="F33" s="41">
        <f>VLOOKUP(A33,ConsolidatedMHrequirementMar26!$A$4:$K$55,4,FALSE)</f>
        <v/>
      </c>
      <c r="G33" s="3">
        <f>ConsolidatedMHrequirementMar26!F33</f>
        <v/>
      </c>
      <c r="H33" s="3">
        <f>ConsolidatedMHrequirementMar26!E33</f>
        <v/>
      </c>
      <c r="I33" s="3">
        <f>ConsolidatedMHrequirementMar26!G33</f>
        <v/>
      </c>
      <c r="J33" s="41">
        <f>VLOOKUP(A33,ConsolidatedMHrequirementMar26!$A$4:$K$55,8,FALSE)</f>
        <v/>
      </c>
      <c r="K33" s="3" t="n">
        <v>0</v>
      </c>
      <c r="L33" s="3">
        <f>J33-K33</f>
        <v/>
      </c>
      <c r="M33" s="69">
        <f>ConsolidatedMHrequirementMar26!I33</f>
        <v/>
      </c>
      <c r="N33" s="69" t="n"/>
      <c r="O33" s="69" t="n"/>
      <c r="P33" s="69" t="n"/>
      <c r="Q33" s="69" t="n"/>
      <c r="R33" s="69" t="n"/>
      <c r="S33" s="69" t="n"/>
      <c r="T33" s="69" t="n"/>
    </row>
    <row r="34" customFormat="1" s="34">
      <c r="A34" s="10" t="inlineStr">
        <is>
          <t>B650</t>
        </is>
      </c>
      <c r="B34" s="3">
        <f>ConsolidatedMHrequirementMar26!B34</f>
        <v/>
      </c>
      <c r="C34" s="3" t="n"/>
      <c r="D34" s="3" t="n"/>
      <c r="E34" s="3" t="n"/>
      <c r="F34" s="41">
        <f>VLOOKUP(A34,ConsolidatedMHrequirementMar26!$A$4:$K$55,4,FALSE)</f>
        <v/>
      </c>
      <c r="G34" s="3">
        <f>ConsolidatedMHrequirementMar26!F34</f>
        <v/>
      </c>
      <c r="H34" s="3">
        <f>ConsolidatedMHrequirementMar26!E34</f>
        <v/>
      </c>
      <c r="I34" s="3">
        <f>ConsolidatedMHrequirementMar26!G34</f>
        <v/>
      </c>
      <c r="J34" s="41">
        <f>VLOOKUP(A34,ConsolidatedMHrequirementMar26!$A$4:$K$55,8,FALSE)</f>
        <v/>
      </c>
      <c r="K34" s="3" t="n">
        <v>0</v>
      </c>
      <c r="L34" s="3">
        <f>J34-K34</f>
        <v/>
      </c>
      <c r="M34" s="69">
        <f>ConsolidatedMHrequirementMar26!I34</f>
        <v/>
      </c>
      <c r="N34" s="69" t="n"/>
      <c r="O34" s="69" t="n"/>
      <c r="P34" s="69" t="n"/>
      <c r="Q34" s="69" t="n"/>
      <c r="R34" s="69" t="n"/>
      <c r="S34" s="69" t="n"/>
      <c r="T34" s="69" t="n"/>
      <c r="X34" s="34" t="inlineStr">
        <is>
          <t xml:space="preserve"> </t>
        </is>
      </c>
    </row>
    <row r="35" ht="15" customFormat="1" customHeight="1" s="34">
      <c r="A35" s="10" t="inlineStr">
        <is>
          <t>B653</t>
        </is>
      </c>
      <c r="B35" s="3">
        <f>ConsolidatedMHrequirementMar26!B35</f>
        <v/>
      </c>
      <c r="C35" s="3" t="n"/>
      <c r="D35" s="3" t="n"/>
      <c r="E35" s="3" t="n"/>
      <c r="F35" s="41">
        <f>VLOOKUP(A35,ConsolidatedMHrequirementMar26!$A$4:$K$55,4,FALSE)</f>
        <v/>
      </c>
      <c r="G35" s="3">
        <f>ConsolidatedMHrequirementMar26!F35</f>
        <v/>
      </c>
      <c r="H35" s="3">
        <f>ConsolidatedMHrequirementMar26!E35</f>
        <v/>
      </c>
      <c r="I35" s="3">
        <f>ConsolidatedMHrequirementMar26!G35</f>
        <v/>
      </c>
      <c r="J35" s="41">
        <f>VLOOKUP(A35,ConsolidatedMHrequirementMar26!$A$4:$K$55,8,FALSE)</f>
        <v/>
      </c>
      <c r="K35" s="3" t="n">
        <v>0</v>
      </c>
      <c r="L35" s="3">
        <f>J35-K35</f>
        <v/>
      </c>
      <c r="M35" s="69">
        <f>ConsolidatedMHrequirementMar26!I35</f>
        <v/>
      </c>
      <c r="N35" s="69" t="n"/>
      <c r="O35" s="69" t="n"/>
      <c r="P35" s="69" t="n"/>
      <c r="Q35" s="69" t="n"/>
      <c r="R35" s="69" t="n"/>
      <c r="S35" s="69" t="n"/>
      <c r="T35" s="69" t="n"/>
    </row>
    <row r="36" ht="14.5" customFormat="1" customHeight="1" s="34">
      <c r="A36" s="10" t="inlineStr">
        <is>
          <t>B725</t>
        </is>
      </c>
      <c r="B36" s="3">
        <f>ConsolidatedMHrequirementMar26!B36</f>
        <v/>
      </c>
      <c r="C36" s="3" t="n"/>
      <c r="D36" s="3" t="n"/>
      <c r="E36" s="3" t="n"/>
      <c r="F36" s="41">
        <f>VLOOKUP(A36,ConsolidatedMHrequirementMar26!$A$4:$K$55,4,FALSE)</f>
        <v/>
      </c>
      <c r="G36" s="3">
        <f>ConsolidatedMHrequirementMar26!F36</f>
        <v/>
      </c>
      <c r="H36" s="3">
        <f>ConsolidatedMHrequirementMar26!E36</f>
        <v/>
      </c>
      <c r="I36" s="3">
        <f>ConsolidatedMHrequirementMar26!G36</f>
        <v/>
      </c>
      <c r="J36" s="41">
        <f>VLOOKUP(A36,ConsolidatedMHrequirementMar26!$A$4:$K$55,8,FALSE)</f>
        <v/>
      </c>
      <c r="K36" s="3" t="n">
        <v>0</v>
      </c>
      <c r="L36" s="3">
        <f>J36-K36</f>
        <v/>
      </c>
      <c r="M36" s="69">
        <f>ConsolidatedMHrequirementMar26!I36</f>
        <v/>
      </c>
      <c r="N36" s="69" t="n"/>
      <c r="O36" s="69" t="n"/>
      <c r="P36" s="69" t="n"/>
      <c r="Q36" s="69" t="n"/>
      <c r="R36" s="69" t="n"/>
      <c r="S36" s="69" t="n"/>
      <c r="T36" s="69" t="n"/>
    </row>
    <row r="37" ht="14.5" customFormat="1" customHeight="1" s="34">
      <c r="A37" s="10" t="inlineStr">
        <is>
          <t>B767</t>
        </is>
      </c>
      <c r="B37" s="3">
        <f>ConsolidatedMHrequirementMar26!B37</f>
        <v/>
      </c>
      <c r="C37" s="3" t="n"/>
      <c r="D37" s="3" t="n"/>
      <c r="E37" s="3" t="n"/>
      <c r="F37" s="41">
        <f>VLOOKUP(A37,ConsolidatedMHrequirementMar26!$A$4:$K$55,4,FALSE)</f>
        <v/>
      </c>
      <c r="G37" s="3">
        <f>ConsolidatedMHrequirementMar26!F37</f>
        <v/>
      </c>
      <c r="H37" s="3">
        <f>ConsolidatedMHrequirementMar26!E37</f>
        <v/>
      </c>
      <c r="I37" s="3">
        <f>ConsolidatedMHrequirementMar26!G37</f>
        <v/>
      </c>
      <c r="J37" s="41">
        <f>VLOOKUP(A37,ConsolidatedMHrequirementMar26!$A$4:$K$55,8,FALSE)</f>
        <v/>
      </c>
      <c r="K37" s="3" t="n">
        <v>0</v>
      </c>
      <c r="L37" s="3">
        <f>J37-K37</f>
        <v/>
      </c>
      <c r="M37" s="69">
        <f>ConsolidatedMHrequirementMar26!I37</f>
        <v/>
      </c>
      <c r="N37" s="69" t="n"/>
      <c r="O37" s="69" t="n"/>
      <c r="P37" s="69" t="n"/>
      <c r="Q37" s="69" t="n"/>
      <c r="R37" s="69" t="n"/>
      <c r="S37" s="69" t="n"/>
      <c r="T37" s="69" t="n"/>
    </row>
    <row r="38" ht="14.5" customFormat="1" customHeight="1" s="34">
      <c r="A38" s="10" t="inlineStr">
        <is>
          <t>B795</t>
        </is>
      </c>
      <c r="B38" s="3">
        <f>ConsolidatedMHrequirementMar26!B38</f>
        <v/>
      </c>
      <c r="C38" s="3" t="n"/>
      <c r="D38" s="3" t="n"/>
      <c r="E38" s="3" t="n"/>
      <c r="F38" s="41">
        <f>VLOOKUP(A38,ConsolidatedMHrequirementMar26!$A$4:$K$55,4,FALSE)</f>
        <v/>
      </c>
      <c r="G38" s="3">
        <f>ConsolidatedMHrequirementMar26!F38</f>
        <v/>
      </c>
      <c r="H38" s="3">
        <f>ConsolidatedMHrequirementMar26!E38</f>
        <v/>
      </c>
      <c r="I38" s="3">
        <f>ConsolidatedMHrequirementMar26!G38</f>
        <v/>
      </c>
      <c r="J38" s="41">
        <f>VLOOKUP(A38,ConsolidatedMHrequirementMar26!$A$4:$K$55,8,FALSE)</f>
        <v/>
      </c>
      <c r="K38" s="3" t="n">
        <v>0</v>
      </c>
      <c r="L38" s="3">
        <f>J38-K38</f>
        <v/>
      </c>
      <c r="M38" s="69">
        <f>ConsolidatedMHrequirementMar26!I38</f>
        <v/>
      </c>
      <c r="N38" s="69" t="n"/>
      <c r="O38" s="69" t="n"/>
      <c r="P38" s="69" t="n"/>
      <c r="Q38" s="69" t="n"/>
      <c r="R38" s="69" t="n"/>
      <c r="S38" s="69" t="n"/>
      <c r="T38" s="69" t="n"/>
    </row>
    <row r="39" ht="14.5" customFormat="1" customHeight="1" s="34">
      <c r="A39" s="10" t="inlineStr">
        <is>
          <t>B813</t>
        </is>
      </c>
      <c r="B39" s="3">
        <f>ConsolidatedMHrequirementMar26!B39</f>
        <v/>
      </c>
      <c r="C39" s="3" t="n"/>
      <c r="D39" s="3" t="n"/>
      <c r="E39" s="3" t="n"/>
      <c r="F39" s="41">
        <f>VLOOKUP(A39,ConsolidatedMHrequirementMar26!$A$4:$K$55,4,FALSE)</f>
        <v/>
      </c>
      <c r="G39" s="3">
        <f>ConsolidatedMHrequirementMar26!F39</f>
        <v/>
      </c>
      <c r="H39" s="3">
        <f>ConsolidatedMHrequirementMar26!E39</f>
        <v/>
      </c>
      <c r="I39" s="3">
        <f>ConsolidatedMHrequirementMar26!G39</f>
        <v/>
      </c>
      <c r="J39" s="41">
        <f>VLOOKUP(A39,ConsolidatedMHrequirementMar26!$A$4:$K$55,8,FALSE)</f>
        <v/>
      </c>
      <c r="K39" s="3" t="n">
        <v>0</v>
      </c>
      <c r="L39" s="3">
        <f>J39-K39</f>
        <v/>
      </c>
      <c r="M39" s="69">
        <f>ConsolidatedMHrequirementMar26!I39</f>
        <v/>
      </c>
      <c r="N39" s="69" t="n"/>
      <c r="O39" s="69" t="n"/>
      <c r="P39" s="69" t="n"/>
      <c r="Q39" s="69" t="n"/>
      <c r="R39" s="69" t="n"/>
      <c r="S39" s="69" t="n"/>
      <c r="T39" s="69" t="n"/>
    </row>
    <row r="40" ht="14.5" customFormat="1" customHeight="1" s="34">
      <c r="A40" s="10" t="inlineStr">
        <is>
          <t>B860</t>
        </is>
      </c>
      <c r="B40" s="3">
        <f>ConsolidatedMHrequirementMar26!B40</f>
        <v/>
      </c>
      <c r="C40" s="3" t="n"/>
      <c r="D40" s="3" t="n"/>
      <c r="E40" s="3" t="n"/>
      <c r="F40" s="41">
        <f>VLOOKUP(A40,ConsolidatedMHrequirementMar26!$A$4:$K$55,4,FALSE)</f>
        <v/>
      </c>
      <c r="G40" s="3">
        <f>ConsolidatedMHrequirementMar26!F40</f>
        <v/>
      </c>
      <c r="H40" s="3">
        <f>ConsolidatedMHrequirementMar26!E40</f>
        <v/>
      </c>
      <c r="I40" s="3">
        <f>ConsolidatedMHrequirementMar26!G40</f>
        <v/>
      </c>
      <c r="J40" s="41">
        <f>VLOOKUP(A40,ConsolidatedMHrequirementMar26!$A$4:$K$55,8,FALSE)</f>
        <v/>
      </c>
      <c r="K40" s="3" t="n">
        <v>0</v>
      </c>
      <c r="L40" s="3">
        <f>J40-K40</f>
        <v/>
      </c>
      <c r="M40" s="69">
        <f>ConsolidatedMHrequirementMar26!I40</f>
        <v/>
      </c>
      <c r="N40" s="69" t="n"/>
      <c r="O40" s="69" t="n"/>
      <c r="P40" s="69" t="n"/>
      <c r="Q40" s="69" t="n"/>
      <c r="R40" s="69" t="n"/>
      <c r="S40" s="69" t="n"/>
      <c r="T40" s="69" t="n"/>
    </row>
    <row r="41" ht="14.5" customFormat="1" customHeight="1" s="34">
      <c r="A41" s="10" t="inlineStr">
        <is>
          <t>B861</t>
        </is>
      </c>
      <c r="B41" s="3">
        <f>ConsolidatedMHrequirementMar26!B41</f>
        <v/>
      </c>
      <c r="C41" s="3" t="n"/>
      <c r="D41" s="3" t="n"/>
      <c r="E41" s="3" t="n"/>
      <c r="F41" s="41">
        <f>VLOOKUP(A41,ConsolidatedMHrequirementMar26!$A$4:$K$55,4,FALSE)</f>
        <v/>
      </c>
      <c r="G41" s="3">
        <f>ConsolidatedMHrequirementMar26!F41</f>
        <v/>
      </c>
      <c r="H41" s="3">
        <f>ConsolidatedMHrequirementMar26!E41</f>
        <v/>
      </c>
      <c r="I41" s="3">
        <f>ConsolidatedMHrequirementMar26!G41</f>
        <v/>
      </c>
      <c r="J41" s="41">
        <f>VLOOKUP(A41,ConsolidatedMHrequirementMar26!$A$4:$K$55,8,FALSE)</f>
        <v/>
      </c>
      <c r="K41" s="3" t="n">
        <v>0</v>
      </c>
      <c r="L41" s="3">
        <f>J41-K41</f>
        <v/>
      </c>
      <c r="M41" s="69">
        <f>ConsolidatedMHrequirementMar26!I41</f>
        <v/>
      </c>
      <c r="N41" s="69" t="n"/>
      <c r="O41" s="69" t="n"/>
      <c r="P41" s="69" t="n"/>
      <c r="Q41" s="69" t="n"/>
      <c r="R41" s="69" t="n"/>
      <c r="S41" s="69" t="n"/>
      <c r="T41" s="69" t="n"/>
    </row>
    <row r="42" ht="22" customFormat="1" customHeight="1" s="34">
      <c r="A42" s="10" t="inlineStr">
        <is>
          <t>B862</t>
        </is>
      </c>
      <c r="B42" s="3">
        <f>ConsolidatedMHrequirementMar26!B42</f>
        <v/>
      </c>
      <c r="C42" s="3" t="n"/>
      <c r="D42" s="3" t="n"/>
      <c r="E42" s="3" t="n"/>
      <c r="F42" s="41">
        <f>VLOOKUP(A42,ConsolidatedMHrequirementMar26!$A$4:$K$55,4,FALSE)</f>
        <v/>
      </c>
      <c r="G42" s="3">
        <f>ConsolidatedMHrequirementMar26!F42</f>
        <v/>
      </c>
      <c r="H42" s="3">
        <f>ConsolidatedMHrequirementMar26!E42</f>
        <v/>
      </c>
      <c r="I42" s="3">
        <f>ConsolidatedMHrequirementMar26!G42</f>
        <v/>
      </c>
      <c r="J42" s="41">
        <f>VLOOKUP(A42,ConsolidatedMHrequirementMar26!$A$4:$K$55,8,FALSE)</f>
        <v/>
      </c>
      <c r="K42" s="3" t="n">
        <v>0</v>
      </c>
      <c r="L42" s="3">
        <f>J42-K42</f>
        <v/>
      </c>
      <c r="M42" s="69">
        <f>ConsolidatedMHrequirementMar26!I42</f>
        <v/>
      </c>
      <c r="N42" s="69" t="n"/>
      <c r="O42" s="69" t="n"/>
      <c r="P42" s="69" t="n"/>
      <c r="Q42" s="69" t="n"/>
      <c r="R42" s="69" t="n"/>
      <c r="S42" s="69" t="n"/>
      <c r="T42" s="69" t="n"/>
    </row>
    <row r="43" ht="19" customFormat="1" customHeight="1" s="34">
      <c r="A43" s="10" t="inlineStr">
        <is>
          <t>B865</t>
        </is>
      </c>
      <c r="B43" s="3">
        <f>ConsolidatedMHrequirementMar26!B43</f>
        <v/>
      </c>
      <c r="C43" s="3" t="n"/>
      <c r="D43" s="3" t="n"/>
      <c r="E43" s="3" t="n"/>
      <c r="F43" s="41">
        <f>VLOOKUP(A43,ConsolidatedMHrequirementMar26!$A$4:$K$55,4,FALSE)</f>
        <v/>
      </c>
      <c r="G43" s="3">
        <f>ConsolidatedMHrequirementMar26!F43</f>
        <v/>
      </c>
      <c r="H43" s="3">
        <f>ConsolidatedMHrequirementMar26!E43</f>
        <v/>
      </c>
      <c r="I43" s="3">
        <f>ConsolidatedMHrequirementMar26!G43</f>
        <v/>
      </c>
      <c r="J43" s="41">
        <f>VLOOKUP(A43,ConsolidatedMHrequirementMar26!$A$4:$K$55,8,FALSE)</f>
        <v/>
      </c>
      <c r="K43" s="3" t="n">
        <v>0</v>
      </c>
      <c r="L43" s="3">
        <f>J43-K43</f>
        <v/>
      </c>
      <c r="M43" s="69">
        <f>ConsolidatedMHrequirementMar26!I43</f>
        <v/>
      </c>
      <c r="N43" s="69" t="n"/>
      <c r="O43" s="69" t="n"/>
      <c r="P43" s="69" t="n"/>
      <c r="Q43" s="69" t="n"/>
      <c r="R43" s="69" t="n"/>
      <c r="S43" s="69" t="n"/>
      <c r="T43" s="69" t="n"/>
    </row>
    <row r="44" ht="19" customFormat="1" customHeight="1" s="34">
      <c r="A44" s="10" t="inlineStr">
        <is>
          <t>B889</t>
        </is>
      </c>
      <c r="B44" s="3">
        <f>ConsolidatedMHrequirementMar26!B44</f>
        <v/>
      </c>
      <c r="C44" s="3" t="n"/>
      <c r="D44" s="3" t="n"/>
      <c r="E44" s="3" t="n"/>
      <c r="F44" s="41">
        <f>VLOOKUP(A44,ConsolidatedMHrequirementMar26!$A$4:$K$55,4,FALSE)</f>
        <v/>
      </c>
      <c r="G44" s="3">
        <f>ConsolidatedMHrequirementMar26!F44</f>
        <v/>
      </c>
      <c r="H44" s="3">
        <f>ConsolidatedMHrequirementMar26!E44</f>
        <v/>
      </c>
      <c r="I44" s="3">
        <f>ConsolidatedMHrequirementMar26!G44</f>
        <v/>
      </c>
      <c r="J44" s="41">
        <f>VLOOKUP(A44,ConsolidatedMHrequirementMar26!$A$4:$K$55,8,FALSE)</f>
        <v/>
      </c>
      <c r="K44" s="3" t="n">
        <v>0</v>
      </c>
      <c r="L44" s="3">
        <f>J44-K44</f>
        <v/>
      </c>
      <c r="M44" s="69">
        <f>ConsolidatedMHrequirementMar26!I44</f>
        <v/>
      </c>
      <c r="N44" s="69" t="n"/>
      <c r="O44" s="69" t="n"/>
      <c r="P44" s="69" t="n"/>
      <c r="Q44" s="69" t="n"/>
      <c r="R44" s="69" t="n"/>
      <c r="S44" s="69" t="n"/>
      <c r="T44" s="69" t="n"/>
    </row>
    <row r="45" ht="19" customFormat="1" customHeight="1" s="34">
      <c r="A45" s="10" t="inlineStr">
        <is>
          <t>B895</t>
        </is>
      </c>
      <c r="B45" s="3">
        <f>ConsolidatedMHrequirementMar26!B45</f>
        <v/>
      </c>
      <c r="C45" s="3" t="n"/>
      <c r="D45" s="3" t="n"/>
      <c r="E45" s="3" t="n"/>
      <c r="F45" s="41">
        <f>VLOOKUP(A45,ConsolidatedMHrequirementMar26!$A$4:$K$55,4,FALSE)</f>
        <v/>
      </c>
      <c r="G45" s="3">
        <f>ConsolidatedMHrequirementMar26!F45</f>
        <v/>
      </c>
      <c r="H45" s="3">
        <f>ConsolidatedMHrequirementMar26!E45</f>
        <v/>
      </c>
      <c r="I45" s="3">
        <f>ConsolidatedMHrequirementMar26!G45</f>
        <v/>
      </c>
      <c r="J45" s="41">
        <f>VLOOKUP(A45,ConsolidatedMHrequirementMar26!$A$4:$K$55,8,FALSE)</f>
        <v/>
      </c>
      <c r="K45" s="3" t="n">
        <v>0</v>
      </c>
      <c r="L45" s="3">
        <f>J45-K45</f>
        <v/>
      </c>
      <c r="M45" s="69">
        <f>ConsolidatedMHrequirementMar26!I45</f>
        <v/>
      </c>
      <c r="N45" s="69" t="n"/>
      <c r="O45" s="69" t="n"/>
      <c r="P45" s="69" t="n"/>
      <c r="Q45" s="69" t="n"/>
      <c r="R45" s="69" t="n"/>
      <c r="S45" s="69" t="n"/>
      <c r="T45" s="69" t="n"/>
    </row>
    <row r="46" ht="20" customFormat="1" customHeight="1" s="34">
      <c r="A46" s="10" t="inlineStr">
        <is>
          <t>B903</t>
        </is>
      </c>
      <c r="B46" s="3">
        <f>ConsolidatedMHrequirementMar26!B46</f>
        <v/>
      </c>
      <c r="C46" s="3" t="n"/>
      <c r="D46" s="3" t="n"/>
      <c r="E46" s="3" t="n"/>
      <c r="F46" s="41">
        <f>VLOOKUP(A46,ConsolidatedMHrequirementMar26!$A$4:$K$55,4,FALSE)</f>
        <v/>
      </c>
      <c r="G46" s="3">
        <f>ConsolidatedMHrequirementMar26!F46</f>
        <v/>
      </c>
      <c r="H46" s="3">
        <f>ConsolidatedMHrequirementMar26!E46</f>
        <v/>
      </c>
      <c r="I46" s="3">
        <f>ConsolidatedMHrequirementMar26!G46</f>
        <v/>
      </c>
      <c r="J46" s="41">
        <f>VLOOKUP(A46,ConsolidatedMHrequirementMar26!$A$4:$K$55,8,FALSE)</f>
        <v/>
      </c>
      <c r="K46" s="3" t="n">
        <v>0</v>
      </c>
      <c r="L46" s="3">
        <f>J46-K46</f>
        <v/>
      </c>
      <c r="M46" s="69">
        <f>ConsolidatedMHrequirementMar26!I46</f>
        <v/>
      </c>
      <c r="N46" s="69" t="n"/>
      <c r="O46" s="69" t="n"/>
      <c r="P46" s="69" t="n"/>
      <c r="Q46" s="69" t="n"/>
      <c r="R46" s="69" t="n"/>
      <c r="S46" s="69" t="n"/>
      <c r="T46" s="69" t="n"/>
    </row>
    <row r="47" customFormat="1" s="34">
      <c r="A47" s="10" t="inlineStr">
        <is>
          <t>B904</t>
        </is>
      </c>
      <c r="B47" s="3">
        <f>ConsolidatedMHrequirementMar26!B47</f>
        <v/>
      </c>
      <c r="C47" s="3" t="n"/>
      <c r="D47" s="3" t="n"/>
      <c r="E47" s="3" t="n"/>
      <c r="F47" s="41">
        <f>VLOOKUP(A47,ConsolidatedMHrequirementMar26!$A$4:$K$55,4,FALSE)</f>
        <v/>
      </c>
      <c r="G47" s="3">
        <f>ConsolidatedMHrequirementMar26!F47</f>
        <v/>
      </c>
      <c r="H47" s="3">
        <f>ConsolidatedMHrequirementMar26!E47</f>
        <v/>
      </c>
      <c r="I47" s="3">
        <f>ConsolidatedMHrequirementMar26!G47</f>
        <v/>
      </c>
      <c r="J47" s="41">
        <f>VLOOKUP(A47,ConsolidatedMHrequirementMar26!$A$4:$K$55,8,FALSE)</f>
        <v/>
      </c>
      <c r="K47" s="3" t="n">
        <v>0</v>
      </c>
      <c r="L47" s="3">
        <f>J47-K47</f>
        <v/>
      </c>
      <c r="M47" s="69">
        <f>ConsolidatedMHrequirementMar26!I47</f>
        <v/>
      </c>
      <c r="N47" s="69" t="n"/>
      <c r="O47" s="69" t="n"/>
      <c r="P47" s="69" t="n"/>
      <c r="Q47" s="69" t="n"/>
      <c r="R47" s="69" t="n"/>
      <c r="S47" s="69" t="n"/>
      <c r="T47" s="69" t="n"/>
    </row>
    <row r="48" customFormat="1" s="34">
      <c r="A48" s="10" t="inlineStr">
        <is>
          <t>B933</t>
        </is>
      </c>
      <c r="B48" s="3">
        <f>ConsolidatedMHrequirementMar26!B48</f>
        <v/>
      </c>
      <c r="C48" s="3" t="n"/>
      <c r="D48" s="3" t="n"/>
      <c r="E48" s="3" t="n"/>
      <c r="F48" s="41">
        <f>VLOOKUP(A48,ConsolidatedMHrequirementMar26!$A$4:$K$55,4,FALSE)</f>
        <v/>
      </c>
      <c r="G48" s="3">
        <f>ConsolidatedMHrequirementMar26!F48</f>
        <v/>
      </c>
      <c r="H48" s="3">
        <f>ConsolidatedMHrequirementMar26!E48</f>
        <v/>
      </c>
      <c r="I48" s="3">
        <f>ConsolidatedMHrequirementMar26!G48</f>
        <v/>
      </c>
      <c r="J48" s="41">
        <f>VLOOKUP(A48,ConsolidatedMHrequirementMar26!$A$4:$K$55,8,FALSE)</f>
        <v/>
      </c>
      <c r="K48" s="3" t="n">
        <v>0</v>
      </c>
      <c r="L48" s="3">
        <f>J48-K48</f>
        <v/>
      </c>
      <c r="M48" s="69">
        <f>ConsolidatedMHrequirementMar26!I48</f>
        <v/>
      </c>
      <c r="N48" s="69" t="n"/>
      <c r="O48" s="69" t="n"/>
      <c r="P48" s="69" t="n"/>
      <c r="Q48" s="69" t="n"/>
      <c r="R48" s="69" t="n"/>
      <c r="S48" s="69" t="n"/>
      <c r="T48" s="69" t="n"/>
    </row>
    <row r="49" customFormat="1" s="34">
      <c r="A49" s="10" t="inlineStr">
        <is>
          <t>B943</t>
        </is>
      </c>
      <c r="B49" s="3">
        <f>ConsolidatedMHrequirementMar26!B49</f>
        <v/>
      </c>
      <c r="C49" s="3" t="n"/>
      <c r="D49" s="3" t="n"/>
      <c r="E49" s="3" t="n"/>
      <c r="F49" s="41">
        <f>VLOOKUP(A49,ConsolidatedMHrequirementMar26!$A$4:$K$55,4,FALSE)</f>
        <v/>
      </c>
      <c r="G49" s="3">
        <f>ConsolidatedMHrequirementMar26!F49</f>
        <v/>
      </c>
      <c r="H49" s="3">
        <f>ConsolidatedMHrequirementMar26!E49</f>
        <v/>
      </c>
      <c r="I49" s="3">
        <f>ConsolidatedMHrequirementMar26!G49</f>
        <v/>
      </c>
      <c r="J49" s="41">
        <f>VLOOKUP(A49,ConsolidatedMHrequirementMar26!$A$4:$K$55,8,FALSE)</f>
        <v/>
      </c>
      <c r="K49" s="3" t="n">
        <v>0</v>
      </c>
      <c r="L49" s="3">
        <f>J49-K49</f>
        <v/>
      </c>
      <c r="M49" s="69">
        <f>ConsolidatedMHrequirementMar26!I49</f>
        <v/>
      </c>
      <c r="N49" s="69" t="n"/>
      <c r="O49" s="69" t="n"/>
      <c r="P49" s="69" t="n"/>
      <c r="Q49" s="69" t="n"/>
      <c r="R49" s="69" t="n"/>
      <c r="S49" s="69" t="n"/>
      <c r="T49" s="69" t="n"/>
    </row>
    <row r="50" customFormat="1" s="34">
      <c r="A50" s="10" t="inlineStr">
        <is>
          <t>B957</t>
        </is>
      </c>
      <c r="B50" s="3">
        <f>ConsolidatedMHrequirementMar26!B50</f>
        <v/>
      </c>
      <c r="C50" s="3" t="n"/>
      <c r="D50" s="3" t="n"/>
      <c r="E50" s="3" t="n"/>
      <c r="F50" s="41">
        <f>VLOOKUP(A50,ConsolidatedMHrequirementMar26!$A$4:$K$55,4,FALSE)</f>
        <v/>
      </c>
      <c r="G50" s="3">
        <f>ConsolidatedMHrequirementMar26!F50</f>
        <v/>
      </c>
      <c r="H50" s="3">
        <f>ConsolidatedMHrequirementMar26!E50</f>
        <v/>
      </c>
      <c r="I50" s="3">
        <f>ConsolidatedMHrequirementMar26!G50</f>
        <v/>
      </c>
      <c r="J50" s="41">
        <f>VLOOKUP(A50,ConsolidatedMHrequirementMar26!$A$4:$K$55,8,FALSE)</f>
        <v/>
      </c>
      <c r="K50" s="3" t="n">
        <v>0</v>
      </c>
      <c r="L50" s="3">
        <f>J50-K50</f>
        <v/>
      </c>
      <c r="M50" s="69">
        <f>ConsolidatedMHrequirementMar26!I50</f>
        <v/>
      </c>
      <c r="N50" s="69" t="n"/>
      <c r="O50" s="69" t="n"/>
      <c r="P50" s="69" t="n"/>
      <c r="Q50" s="69" t="n"/>
      <c r="R50" s="69" t="n"/>
      <c r="S50" s="69" t="n"/>
      <c r="T50" s="69" t="n"/>
    </row>
    <row r="51" customFormat="1" s="34">
      <c r="A51" s="10" t="inlineStr">
        <is>
          <t>B964</t>
        </is>
      </c>
      <c r="B51" s="3">
        <f>ConsolidatedMHrequirementMar26!B51</f>
        <v/>
      </c>
      <c r="C51" s="3" t="n"/>
      <c r="D51" s="3" t="n"/>
      <c r="E51" s="3" t="n"/>
      <c r="F51" s="41">
        <f>VLOOKUP(A51,ConsolidatedMHrequirementMar26!$A$4:$K$55,4,FALSE)</f>
        <v/>
      </c>
      <c r="G51" s="3">
        <f>ConsolidatedMHrequirementMar26!F51</f>
        <v/>
      </c>
      <c r="H51" s="3">
        <f>ConsolidatedMHrequirementMar26!E51</f>
        <v/>
      </c>
      <c r="I51" s="3">
        <f>ConsolidatedMHrequirementMar26!G51</f>
        <v/>
      </c>
      <c r="J51" s="41">
        <f>VLOOKUP(A51,ConsolidatedMHrequirementMar26!$A$4:$K$55,8,FALSE)</f>
        <v/>
      </c>
      <c r="K51" s="3" t="n">
        <v>0</v>
      </c>
      <c r="L51" s="3">
        <f>J51-K51</f>
        <v/>
      </c>
      <c r="M51" s="69">
        <f>ConsolidatedMHrequirementMar26!I51</f>
        <v/>
      </c>
      <c r="N51" s="69" t="n"/>
      <c r="O51" s="69" t="n"/>
      <c r="P51" s="69" t="n"/>
      <c r="Q51" s="69" t="n"/>
      <c r="R51" s="69" t="n"/>
      <c r="S51" s="69" t="n"/>
      <c r="T51" s="69" t="n"/>
    </row>
    <row r="52" customFormat="1" s="34">
      <c r="A52" s="10" t="inlineStr">
        <is>
          <t>C007</t>
        </is>
      </c>
      <c r="B52" s="3">
        <f>ConsolidatedMHrequirementMar26!B52</f>
        <v/>
      </c>
      <c r="C52" s="3" t="n"/>
      <c r="D52" s="3" t="n"/>
      <c r="E52" s="3" t="n"/>
      <c r="F52" s="41">
        <f>VLOOKUP(A52,ConsolidatedMHrequirementMar26!$A$4:$K$55,4,FALSE)</f>
        <v/>
      </c>
      <c r="G52" s="3">
        <f>ConsolidatedMHrequirementMar26!F52</f>
        <v/>
      </c>
      <c r="H52" s="3">
        <f>ConsolidatedMHrequirementMar26!E52</f>
        <v/>
      </c>
      <c r="I52" s="3">
        <f>ConsolidatedMHrequirementMar26!G52</f>
        <v/>
      </c>
      <c r="J52" s="41">
        <f>VLOOKUP(A52,ConsolidatedMHrequirementMar26!$A$4:$K$55,8,FALSE)</f>
        <v/>
      </c>
      <c r="K52" s="3" t="n">
        <v>0</v>
      </c>
      <c r="L52" s="3">
        <f>J52-K52</f>
        <v/>
      </c>
      <c r="M52" s="69">
        <f>ConsolidatedMHrequirementMar26!I52</f>
        <v/>
      </c>
      <c r="N52" s="69" t="n"/>
      <c r="O52" s="69" t="n"/>
      <c r="P52" s="69" t="n"/>
      <c r="Q52" s="69" t="n"/>
      <c r="R52" s="69" t="n"/>
      <c r="S52" s="69" t="n"/>
      <c r="T52" s="69" t="n"/>
    </row>
    <row r="53" customFormat="1" s="34">
      <c r="A53" s="10" t="inlineStr">
        <is>
          <t>C028</t>
        </is>
      </c>
      <c r="B53" s="3">
        <f>ConsolidatedMHrequirementMar26!B53</f>
        <v/>
      </c>
      <c r="C53" s="3" t="n"/>
      <c r="D53" s="3" t="n"/>
      <c r="E53" s="3" t="n"/>
      <c r="F53" s="41">
        <f>VLOOKUP(A53,ConsolidatedMHrequirementMar26!$A$4:$K$55,4,FALSE)</f>
        <v/>
      </c>
      <c r="G53" s="3">
        <f>ConsolidatedMHrequirementMar26!F53</f>
        <v/>
      </c>
      <c r="H53" s="3">
        <f>ConsolidatedMHrequirementMar26!E53</f>
        <v/>
      </c>
      <c r="I53" s="3">
        <f>ConsolidatedMHrequirementMar26!G53</f>
        <v/>
      </c>
      <c r="J53" s="41">
        <f>VLOOKUP(A53,ConsolidatedMHrequirementMar26!$A$4:$K$55,8,FALSE)</f>
        <v/>
      </c>
      <c r="K53" s="3" t="n">
        <v>0</v>
      </c>
      <c r="L53" s="3">
        <f>J53-K53</f>
        <v/>
      </c>
      <c r="M53" s="69">
        <f>ConsolidatedMHrequirementMar26!I53</f>
        <v/>
      </c>
      <c r="N53" s="69" t="n"/>
      <c r="O53" s="69" t="n"/>
      <c r="P53" s="69" t="n"/>
      <c r="Q53" s="69" t="n"/>
      <c r="R53" s="69" t="n"/>
      <c r="S53" s="69" t="n"/>
      <c r="T53" s="69" t="n"/>
    </row>
    <row r="54" customFormat="1" s="34">
      <c r="A54" s="10" t="inlineStr">
        <is>
          <t>C068</t>
        </is>
      </c>
      <c r="B54" s="3">
        <f>ConsolidatedMHrequirementMar26!B54</f>
        <v/>
      </c>
      <c r="C54" s="3" t="n"/>
      <c r="D54" s="3" t="n"/>
      <c r="E54" s="3" t="n"/>
      <c r="F54" s="41">
        <f>VLOOKUP(A54,ConsolidatedMHrequirementMar26!$A$4:$K$55,4,FALSE)</f>
        <v/>
      </c>
      <c r="G54" s="3">
        <f>ConsolidatedMHrequirementMar26!F54</f>
        <v/>
      </c>
      <c r="H54" s="3">
        <f>ConsolidatedMHrequirementMar26!E54</f>
        <v/>
      </c>
      <c r="I54" s="3">
        <f>ConsolidatedMHrequirementMar26!G54</f>
        <v/>
      </c>
      <c r="J54" s="41">
        <f>VLOOKUP(A54,ConsolidatedMHrequirementMar26!$A$4:$K$55,8,FALSE)</f>
        <v/>
      </c>
      <c r="K54" s="3" t="n">
        <v>0</v>
      </c>
      <c r="L54" s="3">
        <f>J54-K54</f>
        <v/>
      </c>
      <c r="M54" s="69">
        <f>ConsolidatedMHrequirementMar26!I54</f>
        <v/>
      </c>
      <c r="N54" s="69" t="n"/>
      <c r="O54" s="69" t="n"/>
      <c r="P54" s="69" t="n"/>
      <c r="Q54" s="69" t="n"/>
      <c r="R54" s="69" t="n"/>
      <c r="S54" s="69" t="n"/>
      <c r="T54" s="69" t="n"/>
    </row>
    <row r="55">
      <c r="A55" s="3" t="inlineStr">
        <is>
          <t>Leave</t>
        </is>
      </c>
      <c r="B55" s="3">
        <f>ConsolidatedMHrequirementMar26!B55</f>
        <v/>
      </c>
      <c r="C55" s="3" t="n"/>
      <c r="D55" s="3" t="n"/>
      <c r="E55" s="3" t="n"/>
      <c r="F55" s="41">
        <f>VLOOKUP(A55,ConsolidatedMHrequirementMar26!$A$4:$K$55,4,FALSE)</f>
        <v/>
      </c>
      <c r="G55" s="3">
        <f>ConsolidatedMHrequirementMar26!F55</f>
        <v/>
      </c>
      <c r="H55" s="3">
        <f>ConsolidatedMHrequirementMar26!E55</f>
        <v/>
      </c>
      <c r="I55" s="3">
        <f>ConsolidatedMHrequirementMar26!G55</f>
        <v/>
      </c>
      <c r="J55" s="41">
        <f>VLOOKUP(A55,ConsolidatedMHrequirementMar26!$A$4:$K$55,8,FALSE)</f>
        <v/>
      </c>
      <c r="K55" s="3" t="n">
        <v>0</v>
      </c>
      <c r="L55" s="3">
        <f>J55-K55</f>
        <v/>
      </c>
      <c r="M55" s="69">
        <f>ConsolidatedMHrequirementMar26!I55</f>
        <v/>
      </c>
      <c r="N55" s="69" t="n"/>
      <c r="O55" s="69" t="n"/>
      <c r="P55" s="69" t="n"/>
      <c r="Q55" s="69" t="n"/>
      <c r="R55" s="69" t="n"/>
      <c r="S55" s="69" t="n"/>
      <c r="T55" s="69" t="n"/>
    </row>
    <row r="56">
      <c r="A56" s="3" t="inlineStr">
        <is>
          <t>Total</t>
        </is>
      </c>
      <c r="B56" s="3">
        <f>ConsolidatedMHrequirementMar26!B55</f>
        <v/>
      </c>
      <c r="C56" s="3" t="n"/>
      <c r="D56" s="3" t="n"/>
      <c r="E56" s="3" t="n"/>
      <c r="F56" s="41">
        <f>VLOOKUP(A56,ConsolidatedMHrequirementMar26!$A$4:$K$55,4,FALSE)</f>
        <v/>
      </c>
      <c r="G56" s="3">
        <f>ConsolidatedMHrequirementMar26!F55</f>
        <v/>
      </c>
      <c r="H56" s="3">
        <f>ConsolidatedMHrequirementMar26!E55</f>
        <v/>
      </c>
      <c r="I56" s="3">
        <f>ConsolidatedMHrequirementMar26!G55</f>
        <v/>
      </c>
      <c r="J56" s="41">
        <f>VLOOKUP(A56,ConsolidatedMHrequirementMar26!$A$4:$K$56,8,FALSE)</f>
        <v/>
      </c>
      <c r="K56" s="3">
        <f>SUM(K4:K55)</f>
        <v/>
      </c>
      <c r="L56" s="3">
        <f>J56-K56</f>
        <v/>
      </c>
      <c r="M56" s="69" t="n"/>
    </row>
    <row r="57">
      <c r="A57" s="55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55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24" t="inlineStr">
        <is>
          <t xml:space="preserve">Guidelines : </t>
        </is>
      </c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</row>
    <row r="60">
      <c r="A60" s="26" t="inlineStr">
        <is>
          <t>1. Inspection Visit including review and endorsement of final documents: At  actual</t>
        </is>
      </c>
      <c r="B60" s="26" t="n"/>
    </row>
    <row r="61">
      <c r="A61" s="26" t="inlineStr">
        <is>
          <t xml:space="preserve">2. Expediting and preparation of expediting report: Average 2 hours /month /order ( No Octarate man hours for coordination ) </t>
        </is>
      </c>
    </row>
    <row r="62">
      <c r="A62" s="26" t="inlineStr">
        <is>
          <t xml:space="preserve">3. Expediting visit/ Attending meeting with project/.Client: At  actual </t>
        </is>
      </c>
    </row>
    <row r="63">
      <c r="A63" s="26" t="inlineStr">
        <is>
          <t xml:space="preserve">4. Review of ITP  for Bulk items  under package order: Average 1 hour/ ITP ( No man hours for standard EIL  ITP being used by the supplier/Contractor) </t>
        </is>
      </c>
    </row>
    <row r="64">
      <c r="A64" s="26" t="inlineStr">
        <is>
          <t xml:space="preserve">5. Review of ITP for Equipment (Mechanical and Electrical/DCS etc): Average 2 hours/order </t>
        </is>
      </c>
    </row>
    <row r="65">
      <c r="A65" s="26" t="inlineStr">
        <is>
          <t>6. Endorsement of IRN issued by the TPIA and issue of despatch Clearance on review of Inspection documents as per scope defined in project profile/original contract for Bulk items: 4 Hour/IRN of TPIA</t>
        </is>
      </c>
    </row>
    <row r="66">
      <c r="A66" s="26" t="inlineStr">
        <is>
          <t>7. Endorsement of IRN issued by the TPIA and issue of despatch Clearance on review of Inspection documents as per project profile/contract for Equipment like Column/ DCS/Compressor/Pumps etc: 8 Hours/IRN of TPIA</t>
        </is>
      </c>
    </row>
    <row r="67">
      <c r="A67" s="26" t="inlineStr">
        <is>
          <t xml:space="preserve">8. Order Closing report: Average 2 hours/Order  </t>
        </is>
      </c>
    </row>
  </sheetData>
  <pageMargins left="0.7" right="0.7" top="0.75" bottom="0.75" header="0.3" footer="0.3"/>
  <pageSetup orientation="landscape" scale="7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55"/>
  <sheetViews>
    <sheetView topLeftCell="A17" workbookViewId="0">
      <selection activeCell="C18" sqref="C18"/>
    </sheetView>
  </sheetViews>
  <sheetFormatPr baseColWidth="8" defaultRowHeight="14.5"/>
  <cols>
    <col width="11.453125" customWidth="1" style="125" min="1" max="1"/>
    <col width="7.90625" customWidth="1" style="125" min="2" max="3"/>
    <col width="6" customWidth="1" style="125" min="4" max="4"/>
    <col width="14.1796875" customWidth="1" style="125" min="5" max="5"/>
    <col width="5.90625" customWidth="1" style="125" min="6" max="6"/>
    <col width="9.54296875" customWidth="1" style="125" min="7" max="7"/>
    <col width="8.90625" customWidth="1" style="125" min="8" max="8"/>
    <col width="5.6328125" customWidth="1" style="125" min="9" max="9"/>
    <col width="19.08984375" customWidth="1" style="125" min="11" max="11"/>
    <col width="18.6328125" customWidth="1" style="125" min="12" max="12"/>
  </cols>
  <sheetData>
    <row r="1">
      <c r="A1" s="4" t="n"/>
    </row>
    <row r="2">
      <c r="A2" s="78" t="n"/>
      <c r="B2" s="78" t="n"/>
      <c r="C2" s="78" t="n"/>
      <c r="D2" s="78" t="n"/>
      <c r="G2" s="78" t="n"/>
      <c r="H2" s="78" t="n"/>
    </row>
    <row r="3" ht="43.5" customHeight="1" s="125">
      <c r="A3" s="73" t="inlineStr">
        <is>
          <t>Job number</t>
        </is>
      </c>
      <c r="B3" s="79" t="inlineStr">
        <is>
          <t>Manhour sought</t>
        </is>
      </c>
      <c r="C3" s="105" t="n"/>
      <c r="D3" s="106" t="n"/>
      <c r="E3" s="74" t="inlineStr">
        <is>
          <t>Total required (Oct-Dec'25)</t>
        </is>
      </c>
      <c r="F3" s="82" t="n"/>
      <c r="G3" s="79" t="inlineStr">
        <is>
          <t>Manhour allocated</t>
        </is>
      </c>
      <c r="H3" s="80" t="n"/>
      <c r="I3" s="81" t="n"/>
      <c r="K3" s="77" t="inlineStr">
        <is>
          <t>Manhour pending from project as on 19/02/26</t>
        </is>
      </c>
      <c r="L3" s="14" t="inlineStr">
        <is>
          <t xml:space="preserve"> </t>
        </is>
      </c>
      <c r="M3" s="123" t="inlineStr">
        <is>
          <t>Final 8518 Bkd</t>
        </is>
      </c>
      <c r="P3" s="85" t="inlineStr">
        <is>
          <t>Monthwise Total</t>
        </is>
      </c>
      <c r="Q3" s="86" t="n"/>
    </row>
    <row r="4">
      <c r="A4" s="1" t="n"/>
      <c r="B4" s="118" t="inlineStr">
        <is>
          <t>Jan</t>
        </is>
      </c>
      <c r="C4" s="118" t="inlineStr">
        <is>
          <t>Feb</t>
        </is>
      </c>
      <c r="D4" s="118" t="inlineStr">
        <is>
          <t>Mar</t>
        </is>
      </c>
      <c r="E4" s="1" t="n"/>
      <c r="F4" s="1" t="n"/>
      <c r="G4" s="118" t="inlineStr">
        <is>
          <t>Jan</t>
        </is>
      </c>
      <c r="H4" s="118" t="inlineStr">
        <is>
          <t>Feb</t>
        </is>
      </c>
      <c r="I4" s="118" t="inlineStr">
        <is>
          <t>Mar</t>
        </is>
      </c>
      <c r="K4" s="28" t="n"/>
      <c r="M4" s="98" t="inlineStr">
        <is>
          <t>Jan</t>
        </is>
      </c>
      <c r="N4" s="98" t="inlineStr">
        <is>
          <t>Feb</t>
        </is>
      </c>
      <c r="O4" s="98" t="inlineStr">
        <is>
          <t>Mar</t>
        </is>
      </c>
      <c r="P4" s="87" t="n">
        <v>46023</v>
      </c>
      <c r="Q4" s="85" t="n">
        <v>720</v>
      </c>
    </row>
    <row r="5" ht="14.5" customHeight="1" s="125">
      <c r="A5" s="71" t="n">
        <v>4994</v>
      </c>
      <c r="B5" s="1">
        <f>IFERROR(VLOOKUP('Jan-Mar26MHRequirement'!A5,'Jan26'!$A$4:$L$54,10,FALSE),0)</f>
        <v/>
      </c>
      <c r="C5" s="1">
        <f>IFERROR(VLOOKUP('Jan-Mar26MHRequirement'!A5,'Feb26'!$A$4:$L$56,10,FALSE),0)</f>
        <v/>
      </c>
      <c r="D5" s="1">
        <f>IFERROR(VLOOKUP('Jan-Mar26MHRequirement'!A5,'Mar26'!$A$4:$L$56,10,FALSE),0)</f>
        <v/>
      </c>
      <c r="E5" s="1">
        <f>SUM(B5:D5)</f>
        <v/>
      </c>
      <c r="F5" s="1" t="n"/>
      <c r="G5" s="1">
        <f>IFERROR(VLOOKUP('Jan-Mar26MHRequirement'!A5,'Jan26'!$A$4:$L$54,11,FALSE),0)</f>
        <v/>
      </c>
      <c r="H5" s="1">
        <f>IFERROR(VLOOKUP('Jan-Mar26MHRequirement'!A5,'Feb26'!A4:L56,11,FALSE),0)</f>
        <v/>
      </c>
      <c r="I5" s="1">
        <f>IFERROR(VLOOKUP('Jan-Mar26MHRequirement'!A5,'Mar26'!A4:L56,11,FALSE),0)</f>
        <v/>
      </c>
      <c r="K5" s="28">
        <f>E5-G5-H5-I5</f>
        <v/>
      </c>
      <c r="M5" s="98" t="n">
        <v>128</v>
      </c>
      <c r="N5" s="98" t="n">
        <v>0</v>
      </c>
      <c r="O5" s="98" t="n">
        <v>0</v>
      </c>
      <c r="P5" s="87" t="n">
        <v>46054</v>
      </c>
      <c r="Q5" s="85" t="n">
        <v>800</v>
      </c>
    </row>
    <row r="6" ht="14.5" customHeight="1" s="125">
      <c r="A6" s="71" t="n">
        <v>6979</v>
      </c>
      <c r="B6" s="1">
        <f>IFERROR(VLOOKUP('Jan-Mar26MHRequirement'!A6,'Jan26'!$A$4:$L$54,10,FALSE),0)</f>
        <v/>
      </c>
      <c r="C6" s="1">
        <f>IFERROR(VLOOKUP('Jan-Mar26MHRequirement'!A6,'Feb26'!$A$4:$L$56,10,FALSE),0)</f>
        <v/>
      </c>
      <c r="D6" s="1">
        <f>IFERROR(VLOOKUP('Jan-Mar26MHRequirement'!A6,'Mar26'!$A$4:$L$56,10,FALSE),0)</f>
        <v/>
      </c>
      <c r="E6" s="1">
        <f>SUM(B6:D6)</f>
        <v/>
      </c>
      <c r="F6" s="1" t="n"/>
      <c r="G6" s="1">
        <f>IFERROR(VLOOKUP('Jan-Mar26MHRequirement'!A6,'Jan26'!$A$4:$L$54,11,FALSE),0)</f>
        <v/>
      </c>
      <c r="H6" s="1">
        <f>IFERROR(VLOOKUP('Jan-Mar26MHRequirement'!A6,'Feb26'!A5:L57,11,FALSE),0)</f>
        <v/>
      </c>
      <c r="I6" s="1">
        <f>IFERROR(VLOOKUP('Jan-Mar26MHRequirement'!A6,'Mar26'!A5:L57,11,FALSE),0)</f>
        <v/>
      </c>
      <c r="K6" s="28">
        <f>E6-G6-H6-I6</f>
        <v/>
      </c>
      <c r="M6" s="98" t="n"/>
      <c r="N6" s="98" t="n"/>
      <c r="O6" s="98" t="n"/>
      <c r="P6" s="87" t="n">
        <v>46082</v>
      </c>
      <c r="Q6" s="85" t="n">
        <v>840</v>
      </c>
    </row>
    <row r="7" ht="14.5" customHeight="1" s="125">
      <c r="A7" s="71" t="n">
        <v>7716</v>
      </c>
      <c r="B7" s="1">
        <f>IFERROR(VLOOKUP('Jan-Mar26MHRequirement'!A7,'Jan26'!$A$4:$L$54,10,FALSE),0)</f>
        <v/>
      </c>
      <c r="C7" s="1">
        <f>IFERROR(VLOOKUP('Jan-Mar26MHRequirement'!A7,'Feb26'!$A$4:$L$56,10,FALSE),0)</f>
        <v/>
      </c>
      <c r="D7" s="1">
        <f>IFERROR(VLOOKUP('Jan-Mar26MHRequirement'!A7,'Mar26'!$A$4:$L$56,10,FALSE),0)</f>
        <v/>
      </c>
      <c r="E7" s="1">
        <f>SUM(B7:D7)</f>
        <v/>
      </c>
      <c r="F7" s="1" t="n"/>
      <c r="G7" s="1">
        <f>IFERROR(VLOOKUP('Jan-Mar26MHRequirement'!A7,'Jan26'!$A$4:$L$54,11,FALSE),0)</f>
        <v/>
      </c>
      <c r="H7" s="1">
        <f>IFERROR(VLOOKUP('Jan-Mar26MHRequirement'!A7,'Feb26'!A6:L58,11,FALSE),0)</f>
        <v/>
      </c>
      <c r="I7" s="1">
        <f>IFERROR(VLOOKUP('Jan-Mar26MHRequirement'!A7,'Mar26'!A6:L58,11,FALSE),0)</f>
        <v/>
      </c>
      <c r="K7" s="28">
        <f>E7-G7-H7-I7</f>
        <v/>
      </c>
      <c r="M7" s="98" t="n"/>
      <c r="N7" s="123">
        <f>M5+N5+O5</f>
        <v/>
      </c>
      <c r="O7" s="98" t="n"/>
      <c r="P7" s="85" t="inlineStr">
        <is>
          <t>Total</t>
        </is>
      </c>
      <c r="Q7" s="85">
        <f>SUM(Q4:Q6)</f>
        <v/>
      </c>
    </row>
    <row r="8" ht="14.5" customHeight="1" s="125">
      <c r="A8" s="71" t="n">
        <v>8518</v>
      </c>
      <c r="B8" s="1">
        <f>IFERROR(VLOOKUP('Jan-Mar26MHRequirement'!A8,'Jan26'!$A$4:$L$54,10,FALSE),0)</f>
        <v/>
      </c>
      <c r="C8" s="1">
        <f>IFERROR(VLOOKUP('Jan-Mar26MHRequirement'!A8,'Feb26'!$A$4:$L$56,10,FALSE),0)</f>
        <v/>
      </c>
      <c r="D8" s="1">
        <f>IFERROR(VLOOKUP('Jan-Mar26MHRequirement'!A8,'Mar26'!$A$4:$L$56,10,FALSE),0)</f>
        <v/>
      </c>
      <c r="E8" s="1">
        <f>SUM(B8:D8)</f>
        <v/>
      </c>
      <c r="F8" s="1" t="n"/>
      <c r="G8" s="1">
        <f>IFERROR(VLOOKUP('Jan-Mar26MHRequirement'!A8,'Jan26'!$A$4:$L$54,11,FALSE),0)</f>
        <v/>
      </c>
      <c r="H8" s="1">
        <f>IFERROR(VLOOKUP('Jan-Mar26MHRequirement'!A8,'Feb26'!A7:L59,11,FALSE),0)</f>
        <v/>
      </c>
      <c r="I8" s="1">
        <f>IFERROR(VLOOKUP('Jan-Mar26MHRequirement'!A8,'Mar26'!A7:L59,11,FALSE),0)</f>
        <v/>
      </c>
      <c r="K8" s="28">
        <f>E8-G8-H8-I8</f>
        <v/>
      </c>
      <c r="P8" s="86" t="n"/>
      <c r="Q8" s="86" t="n"/>
    </row>
    <row r="9" ht="14.5" customHeight="1" s="125">
      <c r="A9" s="71" t="n">
        <v>8590</v>
      </c>
      <c r="B9" s="1">
        <f>IFERROR(VLOOKUP('Jan-Mar26MHRequirement'!A9,'Jan26'!$A$4:$L$54,10,FALSE),0)</f>
        <v/>
      </c>
      <c r="C9" s="1">
        <f>IFERROR(VLOOKUP('Jan-Mar26MHRequirement'!A9,'Feb26'!$A$4:$L$56,10,FALSE),0)</f>
        <v/>
      </c>
      <c r="D9" s="1">
        <f>IFERROR(VLOOKUP('Jan-Mar26MHRequirement'!A9,'Mar26'!$A$4:$L$56,10,FALSE),0)</f>
        <v/>
      </c>
      <c r="E9" s="1">
        <f>SUM(B9:D9)</f>
        <v/>
      </c>
      <c r="F9" s="1" t="n"/>
      <c r="G9" s="1">
        <f>IFERROR(VLOOKUP('Jan-Mar26MHRequirement'!A9,'Jan26'!$A$4:$L$54,11,FALSE),0)</f>
        <v/>
      </c>
      <c r="H9" s="1">
        <f>IFERROR(VLOOKUP('Jan-Mar26MHRequirement'!A9,'Feb26'!A8:L60,11,FALSE),0)</f>
        <v/>
      </c>
      <c r="I9" s="1">
        <f>IFERROR(VLOOKUP('Jan-Mar26MHRequirement'!A9,'Mar26'!A8:L60,11,FALSE),0)</f>
        <v/>
      </c>
      <c r="K9" s="28">
        <f>E9-G9-H9-I9</f>
        <v/>
      </c>
      <c r="M9" s="123" t="inlineStr">
        <is>
          <t>%8518:</t>
        </is>
      </c>
      <c r="N9" s="99">
        <f>N7/Q7</f>
        <v/>
      </c>
      <c r="O9" s="123" t="n"/>
      <c r="P9" s="123" t="n"/>
      <c r="Q9" s="123" t="n"/>
    </row>
    <row r="10" ht="14.5" customHeight="1" s="125">
      <c r="A10" s="10" t="inlineStr">
        <is>
          <t>B016</t>
        </is>
      </c>
      <c r="B10" s="1">
        <f>IFERROR(VLOOKUP('Jan-Mar26MHRequirement'!A10,'Jan26'!$A$4:$L$54,10,FALSE),0)</f>
        <v/>
      </c>
      <c r="C10" s="1">
        <f>IFERROR(VLOOKUP('Jan-Mar26MHRequirement'!A10,'Feb26'!$A$4:$L$56,10,FALSE),0)</f>
        <v/>
      </c>
      <c r="D10" s="1">
        <f>IFERROR(VLOOKUP('Jan-Mar26MHRequirement'!A10,'Mar26'!$A$4:$L$56,10,FALSE),0)</f>
        <v/>
      </c>
      <c r="E10" s="1">
        <f>SUM(B10:D10)</f>
        <v/>
      </c>
      <c r="F10" s="1" t="n"/>
      <c r="G10" s="1">
        <f>IFERROR(VLOOKUP('Jan-Mar26MHRequirement'!A10,'Jan26'!$A$4:$L$54,11,FALSE),0)</f>
        <v/>
      </c>
      <c r="H10" s="1">
        <f>IFERROR(VLOOKUP('Jan-Mar26MHRequirement'!A10,'Feb26'!A9:L61,11,FALSE),0)</f>
        <v/>
      </c>
      <c r="I10" s="1">
        <f>IFERROR(VLOOKUP('Jan-Mar26MHRequirement'!A10,'Mar26'!A9:L61,11,FALSE),0)</f>
        <v/>
      </c>
      <c r="K10" s="28">
        <f>E10-G10-H10-I10</f>
        <v/>
      </c>
      <c r="M10" s="123" t="inlineStr">
        <is>
          <t>%8518 due to non availability of Pjt MH:</t>
        </is>
      </c>
      <c r="N10" s="123" t="n"/>
      <c r="O10" s="123" t="n"/>
      <c r="P10" s="123" t="n"/>
      <c r="Q10" s="123">
        <f>SUM(K5:K7,K9:K55)</f>
        <v/>
      </c>
    </row>
    <row r="11" ht="14.5" customHeight="1" s="125">
      <c r="A11" s="10" t="inlineStr">
        <is>
          <t>B035</t>
        </is>
      </c>
      <c r="B11" s="1">
        <f>IFERROR(VLOOKUP('Jan-Mar26MHRequirement'!A11,'Jan26'!$A$4:$L$54,10,FALSE),0)</f>
        <v/>
      </c>
      <c r="C11" s="1">
        <f>IFERROR(VLOOKUP('Jan-Mar26MHRequirement'!A11,'Feb26'!$A$4:$L$56,10,FALSE),0)</f>
        <v/>
      </c>
      <c r="D11" s="1">
        <f>IFERROR(VLOOKUP('Jan-Mar26MHRequirement'!A11,'Mar26'!$A$4:$L$56,10,FALSE),0)</f>
        <v/>
      </c>
      <c r="E11" s="1">
        <f>SUM(B11:D11)</f>
        <v/>
      </c>
      <c r="F11" s="1" t="n"/>
      <c r="G11" s="1">
        <f>IFERROR(VLOOKUP('Jan-Mar26MHRequirement'!A11,'Jan26'!$A$4:$L$54,11,FALSE),0)</f>
        <v/>
      </c>
      <c r="H11" s="1">
        <f>IFERROR(VLOOKUP('Jan-Mar26MHRequirement'!A11,'Feb26'!A10:L62,11,FALSE),0)</f>
        <v/>
      </c>
      <c r="I11" s="1">
        <f>IFERROR(VLOOKUP('Jan-Mar26MHRequirement'!A11,'Mar26'!A10:L62,11,FALSE),0)</f>
        <v/>
      </c>
      <c r="K11" s="28">
        <f>E11-G11-H11-I11</f>
        <v/>
      </c>
      <c r="M11" s="123" t="n"/>
      <c r="N11" s="123" t="n"/>
      <c r="O11" s="123" t="n"/>
      <c r="P11" s="123" t="n"/>
      <c r="Q11" s="99">
        <f>Q10/Q7</f>
        <v/>
      </c>
    </row>
    <row r="12" ht="14.5" customHeight="1" s="125">
      <c r="A12" s="10" t="inlineStr">
        <is>
          <t>B038</t>
        </is>
      </c>
      <c r="B12" s="1">
        <f>IFERROR(VLOOKUP('Jan-Mar26MHRequirement'!A12,'Jan26'!$A$4:$L$54,10,FALSE),0)</f>
        <v/>
      </c>
      <c r="C12" s="1">
        <f>IFERROR(VLOOKUP('Jan-Mar26MHRequirement'!A12,'Feb26'!$A$4:$L$56,10,FALSE),0)</f>
        <v/>
      </c>
      <c r="D12" s="1">
        <f>IFERROR(VLOOKUP('Jan-Mar26MHRequirement'!A12,'Mar26'!$A$4:$L$56,10,FALSE),0)</f>
        <v/>
      </c>
      <c r="E12" s="1">
        <f>SUM(B12:D12)</f>
        <v/>
      </c>
      <c r="F12" s="1" t="n"/>
      <c r="G12" s="1">
        <f>IFERROR(VLOOKUP('Jan-Mar26MHRequirement'!A12,'Jan26'!$A$4:$L$54,11,FALSE),0)</f>
        <v/>
      </c>
      <c r="H12" s="1">
        <f>IFERROR(VLOOKUP('Jan-Mar26MHRequirement'!A12,'Feb26'!A11:L63,11,FALSE),0)</f>
        <v/>
      </c>
      <c r="I12" s="1">
        <f>IFERROR(VLOOKUP('Jan-Mar26MHRequirement'!A12,'Mar26'!A11:L63,11,FALSE),0)</f>
        <v/>
      </c>
      <c r="K12" s="28">
        <f>E12-G12-H12-I12</f>
        <v/>
      </c>
      <c r="M12" s="123" t="inlineStr">
        <is>
          <t>%8518 on Ov Hd</t>
        </is>
      </c>
      <c r="N12" s="123" t="n"/>
      <c r="O12" s="123" t="n"/>
      <c r="P12" s="123" t="n"/>
      <c r="Q12" s="100">
        <f>N9-Q11</f>
        <v/>
      </c>
    </row>
    <row r="13" ht="14.5" customHeight="1" s="125">
      <c r="A13" s="10" t="inlineStr">
        <is>
          <t>B058</t>
        </is>
      </c>
      <c r="B13" s="1">
        <f>IFERROR(VLOOKUP('Jan-Mar26MHRequirement'!A13,'Jan26'!$A$4:$L$54,10,FALSE),0)</f>
        <v/>
      </c>
      <c r="C13" s="1">
        <f>IFERROR(VLOOKUP('Jan-Mar26MHRequirement'!A13,'Feb26'!$A$4:$L$56,10,FALSE),0)</f>
        <v/>
      </c>
      <c r="D13" s="1">
        <f>IFERROR(VLOOKUP('Jan-Mar26MHRequirement'!A13,'Mar26'!$A$4:$L$56,10,FALSE),0)</f>
        <v/>
      </c>
      <c r="E13" s="1">
        <f>SUM(B13:D13)</f>
        <v/>
      </c>
      <c r="F13" s="1" t="n"/>
      <c r="G13" s="1">
        <f>IFERROR(VLOOKUP('Jan-Mar26MHRequirement'!A13,'Jan26'!$A$4:$L$54,11,FALSE),0)</f>
        <v/>
      </c>
      <c r="H13" s="1">
        <f>IFERROR(VLOOKUP('Jan-Mar26MHRequirement'!A13,'Feb26'!A12:L64,11,FALSE),0)</f>
        <v/>
      </c>
      <c r="I13" s="1">
        <f>IFERROR(VLOOKUP('Jan-Mar26MHRequirement'!A13,'Mar26'!A12:L64,11,FALSE),0)</f>
        <v/>
      </c>
      <c r="K13" s="28">
        <f>E13-G13-H13-I13</f>
        <v/>
      </c>
    </row>
    <row r="14">
      <c r="A14" s="10" t="inlineStr">
        <is>
          <t>B224</t>
        </is>
      </c>
      <c r="B14" s="1">
        <f>IFERROR(VLOOKUP('Jan-Mar26MHRequirement'!A14,'Jan26'!$A$4:$L$54,10,FALSE),0)</f>
        <v/>
      </c>
      <c r="C14" s="1">
        <f>IFERROR(VLOOKUP('Jan-Mar26MHRequirement'!A14,'Feb26'!$A$4:$L$56,10,FALSE),0)</f>
        <v/>
      </c>
      <c r="D14" s="1">
        <f>IFERROR(VLOOKUP('Jan-Mar26MHRequirement'!A14,'Mar26'!$A$4:$L$56,10,FALSE),0)</f>
        <v/>
      </c>
      <c r="E14" s="1">
        <f>SUM(B14:D14)</f>
        <v/>
      </c>
      <c r="F14" s="1" t="n"/>
      <c r="G14" s="1">
        <f>IFERROR(VLOOKUP('Jan-Mar26MHRequirement'!A14,'Jan26'!$A$4:$L$54,11,FALSE),0)</f>
        <v/>
      </c>
      <c r="H14" s="1">
        <f>IFERROR(VLOOKUP('Jan-Mar26MHRequirement'!A14,'Feb26'!A13:L65,11,FALSE),0)</f>
        <v/>
      </c>
      <c r="I14" s="1">
        <f>IFERROR(VLOOKUP('Jan-Mar26MHRequirement'!A14,'Mar26'!A13:L65,11,FALSE),0)</f>
        <v/>
      </c>
      <c r="K14" s="28">
        <f>E14-G14-H14-I14</f>
        <v/>
      </c>
    </row>
    <row r="15" ht="14.5" customHeight="1" s="125">
      <c r="A15" s="10" t="inlineStr">
        <is>
          <t>B229</t>
        </is>
      </c>
      <c r="B15" s="1">
        <f>IFERROR(VLOOKUP('Jan-Mar26MHRequirement'!A15,'Jan26'!$A$4:$L$54,10,FALSE),0)</f>
        <v/>
      </c>
      <c r="C15" s="1">
        <f>IFERROR(VLOOKUP('Jan-Mar26MHRequirement'!A15,'Feb26'!$A$4:$L$56,10,FALSE),0)</f>
        <v/>
      </c>
      <c r="D15" s="1">
        <f>IFERROR(VLOOKUP('Jan-Mar26MHRequirement'!A15,'Mar26'!$A$4:$L$56,10,FALSE),0)</f>
        <v/>
      </c>
      <c r="E15" s="1">
        <f>SUM(B15:D15)</f>
        <v/>
      </c>
      <c r="F15" s="1" t="n"/>
      <c r="G15" s="1">
        <f>IFERROR(VLOOKUP('Jan-Mar26MHRequirement'!A15,'Jan26'!$A$4:$L$54,11,FALSE),0)</f>
        <v/>
      </c>
      <c r="H15" s="1">
        <f>IFERROR(VLOOKUP('Jan-Mar26MHRequirement'!A15,'Feb26'!A14:L66,11,FALSE),0)</f>
        <v/>
      </c>
      <c r="I15" s="1">
        <f>IFERROR(VLOOKUP('Jan-Mar26MHRequirement'!A15,'Mar26'!A14:L66,11,FALSE),0)</f>
        <v/>
      </c>
      <c r="K15" s="28">
        <f>E15-G15-H15-I15</f>
        <v/>
      </c>
    </row>
    <row r="16">
      <c r="A16" s="10" t="inlineStr">
        <is>
          <t>B269</t>
        </is>
      </c>
      <c r="B16" s="1">
        <f>IFERROR(VLOOKUP('Jan-Mar26MHRequirement'!A16,'Jan26'!$A$4:$L$54,10,FALSE),0)</f>
        <v/>
      </c>
      <c r="C16" s="1">
        <f>IFERROR(VLOOKUP('Jan-Mar26MHRequirement'!A16,'Feb26'!$A$4:$L$56,10,FALSE),0)</f>
        <v/>
      </c>
      <c r="D16" s="1">
        <f>IFERROR(VLOOKUP('Jan-Mar26MHRequirement'!A16,'Mar26'!$A$4:$L$56,10,FALSE),0)</f>
        <v/>
      </c>
      <c r="E16" s="1">
        <f>SUM(B16:D16)</f>
        <v/>
      </c>
      <c r="F16" s="1" t="n"/>
      <c r="G16" s="1">
        <f>IFERROR(VLOOKUP('Jan-Mar26MHRequirement'!A16,'Jan26'!$A$4:$L$54,11,FALSE),0)</f>
        <v/>
      </c>
      <c r="H16" s="1">
        <f>IFERROR(VLOOKUP('Jan-Mar26MHRequirement'!A16,'Feb26'!A15:L67,11,FALSE),0)</f>
        <v/>
      </c>
      <c r="I16" s="1">
        <f>IFERROR(VLOOKUP('Jan-Mar26MHRequirement'!A16,'Mar26'!A15:L67,11,FALSE),0)</f>
        <v/>
      </c>
      <c r="K16" s="28">
        <f>E16-G16-H16-I16</f>
        <v/>
      </c>
    </row>
    <row r="17">
      <c r="A17" s="10" t="inlineStr">
        <is>
          <t>B285</t>
        </is>
      </c>
      <c r="B17" s="1">
        <f>IFERROR(VLOOKUP('Jan-Mar26MHRequirement'!A17,'Jan26'!$A$4:$L$54,10,FALSE),0)</f>
        <v/>
      </c>
      <c r="C17" s="1">
        <f>IFERROR(VLOOKUP('Jan-Mar26MHRequirement'!A17,'Feb26'!$A$4:$L$56,10,FALSE),0)</f>
        <v/>
      </c>
      <c r="D17" s="1">
        <f>IFERROR(VLOOKUP('Jan-Mar26MHRequirement'!A17,'Mar26'!$A$4:$L$56,10,FALSE),0)</f>
        <v/>
      </c>
      <c r="E17" s="1">
        <f>SUM(B17:D17)</f>
        <v/>
      </c>
      <c r="F17" s="1" t="n"/>
      <c r="G17" s="1">
        <f>IFERROR(VLOOKUP('Jan-Mar26MHRequirement'!A17,'Jan26'!$A$4:$L$54,11,FALSE),0)</f>
        <v/>
      </c>
      <c r="H17" s="1">
        <f>IFERROR(VLOOKUP('Jan-Mar26MHRequirement'!A17,'Feb26'!A16:L68,11,FALSE),0)</f>
        <v/>
      </c>
      <c r="I17" s="1">
        <f>IFERROR(VLOOKUP('Jan-Mar26MHRequirement'!A17,'Mar26'!A16:L68,11,FALSE),0)</f>
        <v/>
      </c>
      <c r="K17" s="28">
        <f>E17-G17-H17-I17</f>
        <v/>
      </c>
    </row>
    <row r="18" ht="14.5" customHeight="1" s="125">
      <c r="A18" s="10" t="inlineStr">
        <is>
          <t>B297</t>
        </is>
      </c>
      <c r="B18" s="1">
        <f>IFERROR(VLOOKUP('Jan-Mar26MHRequirement'!A18,'Jan26'!$A$4:$L$54,10,FALSE),0)</f>
        <v/>
      </c>
      <c r="C18" s="1">
        <f>IFERROR(VLOOKUP('Jan-Mar26MHRequirement'!A18,'Feb26'!$A$4:$L$56,10,FALSE),0)</f>
        <v/>
      </c>
      <c r="D18" s="1">
        <f>IFERROR(VLOOKUP('Jan-Mar26MHRequirement'!A18,'Mar26'!$A$4:$L$56,10,FALSE),0)</f>
        <v/>
      </c>
      <c r="E18" s="1">
        <f>SUM(B18:D18)</f>
        <v/>
      </c>
      <c r="F18" s="1" t="n"/>
      <c r="G18" s="1">
        <f>IFERROR(VLOOKUP('Jan-Mar26MHRequirement'!A18,'Jan26'!$A$4:$L$54,11,FALSE),0)</f>
        <v/>
      </c>
      <c r="H18" s="1">
        <f>IFERROR(VLOOKUP('Jan-Mar26MHRequirement'!A18,'Feb26'!A17:L69,11,FALSE),0)</f>
        <v/>
      </c>
      <c r="I18" s="1">
        <f>IFERROR(VLOOKUP('Jan-Mar26MHRequirement'!A18,'Mar26'!A17:L69,11,FALSE),0)</f>
        <v/>
      </c>
      <c r="K18" s="28">
        <f>E18-G18-H18-I18</f>
        <v/>
      </c>
    </row>
    <row r="19">
      <c r="A19" s="10" t="inlineStr">
        <is>
          <t>B302</t>
        </is>
      </c>
      <c r="B19" s="1">
        <f>IFERROR(VLOOKUP('Jan-Mar26MHRequirement'!A19,'Jan26'!$A$4:$L$54,10,FALSE),0)</f>
        <v/>
      </c>
      <c r="C19" s="1">
        <f>IFERROR(VLOOKUP('Jan-Mar26MHRequirement'!A19,'Feb26'!$A$4:$L$56,10,FALSE),0)</f>
        <v/>
      </c>
      <c r="D19" s="1">
        <f>IFERROR(VLOOKUP('Jan-Mar26MHRequirement'!A19,'Mar26'!$A$4:$L$56,10,FALSE),0)</f>
        <v/>
      </c>
      <c r="E19" s="1">
        <f>SUM(B19:D19)</f>
        <v/>
      </c>
      <c r="F19" s="1" t="n"/>
      <c r="G19" s="1">
        <f>IFERROR(VLOOKUP('Jan-Mar26MHRequirement'!A19,'Jan26'!$A$4:$L$54,11,FALSE),0)</f>
        <v/>
      </c>
      <c r="H19" s="1">
        <f>IFERROR(VLOOKUP('Jan-Mar26MHRequirement'!A19,'Feb26'!A18:L70,11,FALSE),0)</f>
        <v/>
      </c>
      <c r="I19" s="1">
        <f>IFERROR(VLOOKUP('Jan-Mar26MHRequirement'!A19,'Mar26'!A18:L70,11,FALSE),0)</f>
        <v/>
      </c>
      <c r="K19" s="28">
        <f>E19-G19-H19-I19</f>
        <v/>
      </c>
    </row>
    <row r="20" ht="14.5" customHeight="1" s="125">
      <c r="A20" s="10" t="inlineStr">
        <is>
          <t>B348</t>
        </is>
      </c>
      <c r="B20" s="1">
        <f>IFERROR(VLOOKUP('Jan-Mar26MHRequirement'!A20,'Jan26'!$A$4:$L$54,10,FALSE),0)</f>
        <v/>
      </c>
      <c r="C20" s="1">
        <f>IFERROR(VLOOKUP('Jan-Mar26MHRequirement'!A20,'Feb26'!$A$4:$L$56,10,FALSE),0)</f>
        <v/>
      </c>
      <c r="D20" s="1">
        <f>IFERROR(VLOOKUP('Jan-Mar26MHRequirement'!A20,'Mar26'!$A$4:$L$56,10,FALSE),0)</f>
        <v/>
      </c>
      <c r="E20" s="1">
        <f>SUM(B20:D20)</f>
        <v/>
      </c>
      <c r="F20" s="1" t="n"/>
      <c r="G20" s="1">
        <f>IFERROR(VLOOKUP('Jan-Mar26MHRequirement'!A20,'Jan26'!$A$4:$L$54,11,FALSE),0)</f>
        <v/>
      </c>
      <c r="H20" s="1">
        <f>IFERROR(VLOOKUP('Jan-Mar26MHRequirement'!A20,'Feb26'!A19:L71,11,FALSE),0)</f>
        <v/>
      </c>
      <c r="I20" s="1">
        <f>IFERROR(VLOOKUP('Jan-Mar26MHRequirement'!A20,'Mar26'!A19:L71,11,FALSE),0)</f>
        <v/>
      </c>
      <c r="K20" s="28">
        <f>E20-G20-H20-I20</f>
        <v/>
      </c>
    </row>
    <row r="21">
      <c r="A21" s="10" t="inlineStr">
        <is>
          <t>B359</t>
        </is>
      </c>
      <c r="B21" s="1">
        <f>IFERROR(VLOOKUP('Jan-Mar26MHRequirement'!A21,'Jan26'!$A$4:$L$54,10,FALSE),0)</f>
        <v/>
      </c>
      <c r="C21" s="1">
        <f>IFERROR(VLOOKUP('Jan-Mar26MHRequirement'!A21,'Feb26'!$A$4:$L$56,10,FALSE),0)</f>
        <v/>
      </c>
      <c r="D21" s="1">
        <f>IFERROR(VLOOKUP('Jan-Mar26MHRequirement'!A21,'Mar26'!$A$4:$L$56,10,FALSE),0)</f>
        <v/>
      </c>
      <c r="E21" s="1">
        <f>SUM(B21:D21)</f>
        <v/>
      </c>
      <c r="F21" s="1" t="n"/>
      <c r="G21" s="1">
        <f>IFERROR(VLOOKUP('Jan-Mar26MHRequirement'!A21,'Jan26'!$A$4:$L$54,11,FALSE),0)</f>
        <v/>
      </c>
      <c r="H21" s="1">
        <f>IFERROR(VLOOKUP('Jan-Mar26MHRequirement'!A21,'Feb26'!A20:L72,11,FALSE),0)</f>
        <v/>
      </c>
      <c r="I21" s="1">
        <f>IFERROR(VLOOKUP('Jan-Mar26MHRequirement'!A21,'Mar26'!A20:L72,11,FALSE),0)</f>
        <v/>
      </c>
      <c r="K21" s="28">
        <f>E21-G21-H21-I21</f>
        <v/>
      </c>
    </row>
    <row r="22">
      <c r="A22" s="10" t="inlineStr">
        <is>
          <t>B378</t>
        </is>
      </c>
      <c r="B22" s="1">
        <f>IFERROR(VLOOKUP('Jan-Mar26MHRequirement'!A22,'Jan26'!$A$4:$L$54,10,FALSE),0)</f>
        <v/>
      </c>
      <c r="C22" s="1">
        <f>IFERROR(VLOOKUP('Jan-Mar26MHRequirement'!A22,'Feb26'!$A$4:$L$56,10,FALSE),0)</f>
        <v/>
      </c>
      <c r="D22" s="1">
        <f>IFERROR(VLOOKUP('Jan-Mar26MHRequirement'!A22,'Mar26'!$A$4:$L$56,10,FALSE),0)</f>
        <v/>
      </c>
      <c r="E22" s="1">
        <f>SUM(B22:D22)</f>
        <v/>
      </c>
      <c r="F22" s="1" t="n"/>
      <c r="G22" s="1">
        <f>IFERROR(VLOOKUP('Jan-Mar26MHRequirement'!A22,'Jan26'!$A$4:$L$54,11,FALSE),0)</f>
        <v/>
      </c>
      <c r="H22" s="1">
        <f>IFERROR(VLOOKUP('Jan-Mar26MHRequirement'!A22,'Feb26'!A21:L73,11,FALSE),0)</f>
        <v/>
      </c>
      <c r="I22" s="1">
        <f>IFERROR(VLOOKUP('Jan-Mar26MHRequirement'!A22,'Mar26'!A21:L73,11,FALSE),0)</f>
        <v/>
      </c>
      <c r="K22" s="28">
        <f>E22-G22-H22-I22</f>
        <v/>
      </c>
    </row>
    <row r="23">
      <c r="A23" s="10" t="inlineStr">
        <is>
          <t>B398</t>
        </is>
      </c>
      <c r="B23" s="1">
        <f>IFERROR(VLOOKUP('Jan-Mar26MHRequirement'!A23,'Jan26'!$A$4:$L$54,10,FALSE),0)</f>
        <v/>
      </c>
      <c r="C23" s="1">
        <f>IFERROR(VLOOKUP('Jan-Mar26MHRequirement'!A23,'Feb26'!$A$4:$L$56,10,FALSE),0)</f>
        <v/>
      </c>
      <c r="D23" s="1">
        <f>IFERROR(VLOOKUP('Jan-Mar26MHRequirement'!A23,'Mar26'!$A$4:$L$56,10,FALSE),0)</f>
        <v/>
      </c>
      <c r="E23" s="1">
        <f>SUM(B23:D23)</f>
        <v/>
      </c>
      <c r="F23" s="1" t="n"/>
      <c r="G23" s="1">
        <f>IFERROR(VLOOKUP('Jan-Mar26MHRequirement'!A23,'Jan26'!$A$4:$L$54,11,FALSE),0)</f>
        <v/>
      </c>
      <c r="H23" s="1">
        <f>IFERROR(VLOOKUP('Jan-Mar26MHRequirement'!A23,'Feb26'!A22:L74,11,FALSE),0)</f>
        <v/>
      </c>
      <c r="I23" s="1">
        <f>IFERROR(VLOOKUP('Jan-Mar26MHRequirement'!A23,'Mar26'!A22:L74,11,FALSE),0)</f>
        <v/>
      </c>
      <c r="K23" s="28">
        <f>E23-G23-H23-I23</f>
        <v/>
      </c>
    </row>
    <row r="24" ht="14.5" customHeight="1" s="125">
      <c r="A24" s="10" t="inlineStr">
        <is>
          <t>B414</t>
        </is>
      </c>
      <c r="B24" s="1">
        <f>IFERROR(VLOOKUP('Jan-Mar26MHRequirement'!A24,'Jan26'!$A$4:$L$54,10,FALSE),0)</f>
        <v/>
      </c>
      <c r="C24" s="1">
        <f>IFERROR(VLOOKUP('Jan-Mar26MHRequirement'!A24,'Feb26'!$A$4:$L$56,10,FALSE),0)</f>
        <v/>
      </c>
      <c r="D24" s="1">
        <f>IFERROR(VLOOKUP('Jan-Mar26MHRequirement'!A24,'Mar26'!$A$4:$L$56,10,FALSE),0)</f>
        <v/>
      </c>
      <c r="E24" s="1">
        <f>SUM(B24:D24)</f>
        <v/>
      </c>
      <c r="F24" s="1" t="n"/>
      <c r="G24" s="1">
        <f>IFERROR(VLOOKUP('Jan-Mar26MHRequirement'!A24,'Jan26'!$A$4:$L$54,11,FALSE),0)</f>
        <v/>
      </c>
      <c r="H24" s="1">
        <f>IFERROR(VLOOKUP('Jan-Mar26MHRequirement'!A24,'Feb26'!A24:L75,11,FALSE),0)</f>
        <v/>
      </c>
      <c r="I24" s="1">
        <f>IFERROR(VLOOKUP('Jan-Mar26MHRequirement'!A24,'Mar26'!A24:L75,11,FALSE),0)</f>
        <v/>
      </c>
      <c r="K24" s="28">
        <f>E24-G24-H24-I24</f>
        <v/>
      </c>
    </row>
    <row r="25">
      <c r="A25" s="10" t="inlineStr">
        <is>
          <t>B436</t>
        </is>
      </c>
      <c r="B25" s="1">
        <f>IFERROR(VLOOKUP('Jan-Mar26MHRequirement'!A25,'Jan26'!$A$4:$L$54,10,FALSE),0)</f>
        <v/>
      </c>
      <c r="C25" s="1">
        <f>IFERROR(VLOOKUP('Jan-Mar26MHRequirement'!A25,'Feb26'!$A$4:$L$56,10,FALSE),0)</f>
        <v/>
      </c>
      <c r="D25" s="1">
        <f>IFERROR(VLOOKUP('Jan-Mar26MHRequirement'!A25,'Mar26'!$A$4:$L$56,10,FALSE),0)</f>
        <v/>
      </c>
      <c r="E25" s="1">
        <f>SUM(B25:D25)</f>
        <v/>
      </c>
      <c r="F25" s="1" t="n"/>
      <c r="G25" s="1">
        <f>IFERROR(VLOOKUP('Jan-Mar26MHRequirement'!A25,'Jan26'!$A$4:$L$54,11,FALSE),0)</f>
        <v/>
      </c>
      <c r="H25" s="1">
        <f>IFERROR(VLOOKUP('Jan-Mar26MHRequirement'!A25,'Feb26'!A25:L76,11,FALSE),0)</f>
        <v/>
      </c>
      <c r="I25" s="1">
        <f>IFERROR(VLOOKUP('Jan-Mar26MHRequirement'!A25,'Mar26'!A25:L76,11,FALSE),0)</f>
        <v/>
      </c>
      <c r="K25" s="28">
        <f>E25-G25-H25-I25</f>
        <v/>
      </c>
    </row>
    <row r="26" ht="14.5" customHeight="1" s="125">
      <c r="A26" s="10" t="inlineStr">
        <is>
          <t>B440</t>
        </is>
      </c>
      <c r="B26" s="1">
        <f>IFERROR(VLOOKUP('Jan-Mar26MHRequirement'!A26,'Jan26'!$A$4:$L$54,10,FALSE),0)</f>
        <v/>
      </c>
      <c r="C26" s="1">
        <f>IFERROR(VLOOKUP('Jan-Mar26MHRequirement'!A26,'Feb26'!$A$4:$L$56,10,FALSE),0)</f>
        <v/>
      </c>
      <c r="D26" s="1">
        <f>IFERROR(VLOOKUP('Jan-Mar26MHRequirement'!A26,'Mar26'!$A$4:$L$56,10,FALSE),0)</f>
        <v/>
      </c>
      <c r="E26" s="1">
        <f>SUM(B26:D26)</f>
        <v/>
      </c>
      <c r="F26" s="1" t="n"/>
      <c r="G26" s="1">
        <f>IFERROR(VLOOKUP('Jan-Mar26MHRequirement'!A26,'Jan26'!$A$4:$L$54,11,FALSE),0)</f>
        <v/>
      </c>
      <c r="H26" s="1">
        <f>IFERROR(VLOOKUP('Jan-Mar26MHRequirement'!A26,'Feb26'!A26:L77,11,FALSE),0)</f>
        <v/>
      </c>
      <c r="I26" s="1">
        <f>IFERROR(VLOOKUP('Jan-Mar26MHRequirement'!A26,'Mar26'!A26:L77,11,FALSE),0)</f>
        <v/>
      </c>
      <c r="K26" s="28">
        <f>E26-G26-H26-I26</f>
        <v/>
      </c>
    </row>
    <row r="27" ht="14.5" customHeight="1" s="125">
      <c r="A27" s="10" t="inlineStr">
        <is>
          <t>B448</t>
        </is>
      </c>
      <c r="B27" s="1">
        <f>IFERROR(VLOOKUP('Jan-Mar26MHRequirement'!A27,'Jan26'!$A$4:$L$54,10,FALSE),0)</f>
        <v/>
      </c>
      <c r="C27" s="1">
        <f>IFERROR(VLOOKUP('Jan-Mar26MHRequirement'!A27,'Feb26'!$A$4:$L$56,10,FALSE),0)</f>
        <v/>
      </c>
      <c r="D27" s="1">
        <f>IFERROR(VLOOKUP('Jan-Mar26MHRequirement'!A27,'Mar26'!$A$4:$L$56,10,FALSE),0)</f>
        <v/>
      </c>
      <c r="E27" s="1">
        <f>SUM(B27:D27)</f>
        <v/>
      </c>
      <c r="F27" s="1" t="n"/>
      <c r="G27" s="1">
        <f>IFERROR(VLOOKUP('Jan-Mar26MHRequirement'!A27,'Jan26'!$A$4:$L$54,11,FALSE),0)</f>
        <v/>
      </c>
      <c r="H27" s="1">
        <f>IFERROR(VLOOKUP('Jan-Mar26MHRequirement'!A27,'Feb26'!A27:L78,11,FALSE),0)</f>
        <v/>
      </c>
      <c r="I27" s="1">
        <f>IFERROR(VLOOKUP('Jan-Mar26MHRequirement'!A27,'Mar26'!A27:L78,11,FALSE),0)</f>
        <v/>
      </c>
      <c r="K27" s="28">
        <f>E27-G27-H27-I27</f>
        <v/>
      </c>
    </row>
    <row r="28" ht="14.5" customHeight="1" s="125">
      <c r="A28" s="10" t="inlineStr">
        <is>
          <t>B519</t>
        </is>
      </c>
      <c r="B28" s="1">
        <f>IFERROR(VLOOKUP('Jan-Mar26MHRequirement'!A28,'Jan26'!$A$4:$L$54,10,FALSE),0)</f>
        <v/>
      </c>
      <c r="C28" s="1">
        <f>IFERROR(VLOOKUP('Jan-Mar26MHRequirement'!A28,'Feb26'!$A$4:$L$56,10,FALSE),0)</f>
        <v/>
      </c>
      <c r="D28" s="1">
        <f>IFERROR(VLOOKUP('Jan-Mar26MHRequirement'!A28,'Mar26'!$A$4:$L$56,10,FALSE),0)</f>
        <v/>
      </c>
      <c r="E28" s="1">
        <f>SUM(B28:D28)</f>
        <v/>
      </c>
      <c r="F28" s="1" t="n"/>
      <c r="G28" s="1">
        <f>IFERROR(VLOOKUP('Jan-Mar26MHRequirement'!A28,'Jan26'!$A$4:$L$54,11,FALSE),0)</f>
        <v/>
      </c>
      <c r="H28" s="1">
        <f>IFERROR(VLOOKUP('Jan-Mar26MHRequirement'!A28,'Feb26'!A28:L79,11,FALSE),0)</f>
        <v/>
      </c>
      <c r="I28" s="1">
        <f>IFERROR(VLOOKUP('Jan-Mar26MHRequirement'!A28,'Mar26'!A28:L79,11,FALSE),0)</f>
        <v/>
      </c>
      <c r="K28" s="28">
        <f>E28-G28-H28-I28</f>
        <v/>
      </c>
    </row>
    <row r="29" ht="14.5" customHeight="1" s="125">
      <c r="A29" s="10" t="inlineStr">
        <is>
          <t>B548</t>
        </is>
      </c>
      <c r="B29" s="1">
        <f>IFERROR(VLOOKUP('Jan-Mar26MHRequirement'!A29,'Jan26'!$A$4:$L$54,10,FALSE),0)</f>
        <v/>
      </c>
      <c r="C29" s="1">
        <f>IFERROR(VLOOKUP('Jan-Mar26MHRequirement'!A29,'Feb26'!$A$4:$L$56,10,FALSE),0)</f>
        <v/>
      </c>
      <c r="D29" s="1">
        <f>IFERROR(VLOOKUP('Jan-Mar26MHRequirement'!A29,'Mar26'!$A$4:$L$56,10,FALSE),0)</f>
        <v/>
      </c>
      <c r="E29" s="1">
        <f>SUM(B29:D29)</f>
        <v/>
      </c>
      <c r="F29" s="1" t="n"/>
      <c r="G29" s="1">
        <f>IFERROR(VLOOKUP('Jan-Mar26MHRequirement'!A29,'Jan26'!$A$4:$L$54,11,FALSE),0)</f>
        <v/>
      </c>
      <c r="H29" s="1">
        <f>IFERROR(VLOOKUP('Jan-Mar26MHRequirement'!A29,'Feb26'!A29:L80,11,FALSE),0)</f>
        <v/>
      </c>
      <c r="I29" s="1">
        <f>IFERROR(VLOOKUP('Jan-Mar26MHRequirement'!A29,'Mar26'!A29:L80,11,FALSE),0)</f>
        <v/>
      </c>
      <c r="K29" s="28">
        <f>E29-G29-H29-I29</f>
        <v/>
      </c>
    </row>
    <row r="30">
      <c r="A30" s="10" t="inlineStr">
        <is>
          <t>B559</t>
        </is>
      </c>
      <c r="B30" s="1">
        <f>IFERROR(VLOOKUP('Jan-Mar26MHRequirement'!A30,'Jan26'!$A$4:$L$54,10,FALSE),0)</f>
        <v/>
      </c>
      <c r="C30" s="1">
        <f>IFERROR(VLOOKUP('Jan-Mar26MHRequirement'!A30,'Feb26'!$A$4:$L$56,10,FALSE),0)</f>
        <v/>
      </c>
      <c r="D30" s="1">
        <f>IFERROR(VLOOKUP('Jan-Mar26MHRequirement'!A30,'Mar26'!$A$4:$L$56,10,FALSE),0)</f>
        <v/>
      </c>
      <c r="E30" s="1">
        <f>SUM(B30:D30)</f>
        <v/>
      </c>
      <c r="F30" s="1" t="n"/>
      <c r="G30" s="1">
        <f>IFERROR(VLOOKUP('Jan-Mar26MHRequirement'!A30,'Jan26'!$A$4:$L$54,11,FALSE),0)</f>
        <v/>
      </c>
      <c r="H30" s="1">
        <f>IFERROR(VLOOKUP('Jan-Mar26MHRequirement'!A30,'Feb26'!A30:L81,11,FALSE),0)</f>
        <v/>
      </c>
      <c r="I30" s="1">
        <f>IFERROR(VLOOKUP('Jan-Mar26MHRequirement'!A30,'Mar26'!A30:L81,11,FALSE),0)</f>
        <v/>
      </c>
      <c r="K30" s="28">
        <f>E30-G30-H30-I30</f>
        <v/>
      </c>
    </row>
    <row r="31">
      <c r="A31" s="10" t="inlineStr">
        <is>
          <t>B560</t>
        </is>
      </c>
      <c r="B31" s="1">
        <f>IFERROR(VLOOKUP('Jan-Mar26MHRequirement'!A31,'Jan26'!$A$4:$L$54,10,FALSE),0)</f>
        <v/>
      </c>
      <c r="C31" s="1">
        <f>IFERROR(VLOOKUP('Jan-Mar26MHRequirement'!A31,'Feb26'!$A$4:$L$56,10,FALSE),0)</f>
        <v/>
      </c>
      <c r="D31" s="1">
        <f>IFERROR(VLOOKUP('Jan-Mar26MHRequirement'!A31,'Mar26'!$A$4:$L$56,10,FALSE),0)</f>
        <v/>
      </c>
      <c r="E31" s="1">
        <f>SUM(B31:D31)</f>
        <v/>
      </c>
      <c r="F31" s="1" t="n"/>
      <c r="G31" s="1">
        <f>IFERROR(VLOOKUP('Jan-Mar26MHRequirement'!A31,'Jan26'!$A$4:$L$54,11,FALSE),0)</f>
        <v/>
      </c>
      <c r="H31" s="1">
        <f>IFERROR(VLOOKUP('Jan-Mar26MHRequirement'!A31,'Feb26'!A31:L82,11,FALSE),0)</f>
        <v/>
      </c>
      <c r="I31" s="1">
        <f>IFERROR(VLOOKUP('Jan-Mar26MHRequirement'!A31,'Mar26'!A31:L82,11,FALSE),0)</f>
        <v/>
      </c>
      <c r="K31" s="28">
        <f>E31-G31-H31-I31</f>
        <v/>
      </c>
    </row>
    <row r="32">
      <c r="A32" s="10" t="inlineStr">
        <is>
          <t>B571</t>
        </is>
      </c>
      <c r="B32" s="1">
        <f>IFERROR(VLOOKUP('Jan-Mar26MHRequirement'!A32,'Jan26'!$A$4:$L$54,10,FALSE),0)</f>
        <v/>
      </c>
      <c r="C32" s="1">
        <f>IFERROR(VLOOKUP('Jan-Mar26MHRequirement'!A32,'Feb26'!$A$4:$L$56,10,FALSE),0)</f>
        <v/>
      </c>
      <c r="D32" s="1">
        <f>IFERROR(VLOOKUP('Jan-Mar26MHRequirement'!A32,'Mar26'!$A$4:$L$56,10,FALSE),0)</f>
        <v/>
      </c>
      <c r="E32" s="1">
        <f>SUM(B32:D32)</f>
        <v/>
      </c>
      <c r="F32" s="1" t="n"/>
      <c r="G32" s="1">
        <f>IFERROR(VLOOKUP('Jan-Mar26MHRequirement'!A32,'Jan26'!$A$4:$L$54,11,FALSE),0)</f>
        <v/>
      </c>
      <c r="H32" s="1">
        <f>IFERROR(VLOOKUP('Jan-Mar26MHRequirement'!A32,'Feb26'!A32:L83,11,FALSE),0)</f>
        <v/>
      </c>
      <c r="I32" s="1">
        <f>IFERROR(VLOOKUP('Jan-Mar26MHRequirement'!A32,'Mar26'!A32:L83,11,FALSE),0)</f>
        <v/>
      </c>
      <c r="K32" s="28">
        <f>E32-G32-H32-I32</f>
        <v/>
      </c>
    </row>
    <row r="33" ht="14.5" customHeight="1" s="125">
      <c r="A33" s="10" t="inlineStr">
        <is>
          <t>B589</t>
        </is>
      </c>
      <c r="B33" s="1">
        <f>IFERROR(VLOOKUP('Jan-Mar26MHRequirement'!A33,'Jan26'!$A$4:$L$54,10,FALSE),0)</f>
        <v/>
      </c>
      <c r="C33" s="1">
        <f>IFERROR(VLOOKUP('Jan-Mar26MHRequirement'!A33,'Feb26'!$A$4:$L$56,10,FALSE),0)</f>
        <v/>
      </c>
      <c r="D33" s="1">
        <f>IFERROR(VLOOKUP('Jan-Mar26MHRequirement'!A33,'Mar26'!$A$4:$L$56,10,FALSE),0)</f>
        <v/>
      </c>
      <c r="E33" s="1">
        <f>SUM(B33:D33)</f>
        <v/>
      </c>
      <c r="F33" s="1" t="n"/>
      <c r="G33" s="1">
        <f>IFERROR(VLOOKUP('Jan-Mar26MHRequirement'!A33,'Jan26'!$A$4:$L$54,11,FALSE),0)</f>
        <v/>
      </c>
      <c r="H33" s="1">
        <f>IFERROR(VLOOKUP('Jan-Mar26MHRequirement'!A33,'Feb26'!A33:L84,11,FALSE),0)</f>
        <v/>
      </c>
      <c r="I33" s="1">
        <f>IFERROR(VLOOKUP('Jan-Mar26MHRequirement'!A33,'Mar26'!A33:L84,11,FALSE),0)</f>
        <v/>
      </c>
      <c r="K33" s="28">
        <f>E33-G33-H33-I33</f>
        <v/>
      </c>
    </row>
    <row r="34" ht="14.5" customHeight="1" s="125">
      <c r="A34" s="10" t="inlineStr">
        <is>
          <t>B650</t>
        </is>
      </c>
      <c r="B34" s="1">
        <f>IFERROR(VLOOKUP('Jan-Mar26MHRequirement'!A34,'Jan26'!$A$4:$L$54,10,FALSE),0)</f>
        <v/>
      </c>
      <c r="C34" s="1">
        <f>IFERROR(VLOOKUP('Jan-Mar26MHRequirement'!A34,'Feb26'!$A$4:$L$56,10,FALSE),0)</f>
        <v/>
      </c>
      <c r="D34" s="1">
        <f>IFERROR(VLOOKUP('Jan-Mar26MHRequirement'!A34,'Mar26'!$A$4:$L$56,10,FALSE),0)</f>
        <v/>
      </c>
      <c r="E34" s="1">
        <f>SUM(B34:D34)</f>
        <v/>
      </c>
      <c r="F34" s="1" t="n"/>
      <c r="G34" s="1">
        <f>IFERROR(VLOOKUP('Jan-Mar26MHRequirement'!A34,'Jan26'!$A$4:$L$54,11,FALSE),0)</f>
        <v/>
      </c>
      <c r="H34" s="1">
        <f>IFERROR(VLOOKUP('Jan-Mar26MHRequirement'!A34,'Feb26'!A34:L85,11,FALSE),0)</f>
        <v/>
      </c>
      <c r="I34" s="1">
        <f>IFERROR(VLOOKUP('Jan-Mar26MHRequirement'!A34,'Mar26'!A34:L85,11,FALSE),0)</f>
        <v/>
      </c>
      <c r="K34" s="28">
        <f>E34-G34-H34-I34</f>
        <v/>
      </c>
    </row>
    <row r="35" ht="14.5" customHeight="1" s="125">
      <c r="A35" s="10" t="inlineStr">
        <is>
          <t>B653</t>
        </is>
      </c>
      <c r="B35" s="1">
        <f>IFERROR(VLOOKUP('Jan-Mar26MHRequirement'!A35,'Jan26'!$A$4:$L$54,10,FALSE),0)</f>
        <v/>
      </c>
      <c r="C35" s="1">
        <f>IFERROR(VLOOKUP('Jan-Mar26MHRequirement'!A35,'Feb26'!$A$4:$L$56,10,FALSE),0)</f>
        <v/>
      </c>
      <c r="D35" s="1">
        <f>IFERROR(VLOOKUP('Jan-Mar26MHRequirement'!A35,'Mar26'!$A$4:$L$56,10,FALSE),0)</f>
        <v/>
      </c>
      <c r="E35" s="1">
        <f>SUM(B35:D35)</f>
        <v/>
      </c>
      <c r="F35" s="1" t="n"/>
      <c r="G35" s="1">
        <f>IFERROR(VLOOKUP('Jan-Mar26MHRequirement'!A35,'Jan26'!$A$4:$L$54,11,FALSE),0)</f>
        <v/>
      </c>
      <c r="H35" s="1">
        <f>IFERROR(VLOOKUP('Jan-Mar26MHRequirement'!A35,'Feb26'!A35:L86,11,FALSE),0)</f>
        <v/>
      </c>
      <c r="I35" s="1">
        <f>IFERROR(VLOOKUP('Jan-Mar26MHRequirement'!A35,'Mar26'!A35:L86,11,FALSE),0)</f>
        <v/>
      </c>
      <c r="K35" s="28">
        <f>E35-G35-H35-I35</f>
        <v/>
      </c>
    </row>
    <row r="36">
      <c r="A36" s="10" t="inlineStr">
        <is>
          <t>B725</t>
        </is>
      </c>
      <c r="B36" s="1">
        <f>IFERROR(VLOOKUP('Jan-Mar26MHRequirement'!A36,'Jan26'!$A$4:$L$54,10,FALSE),0)</f>
        <v/>
      </c>
      <c r="C36" s="1">
        <f>IFERROR(VLOOKUP('Jan-Mar26MHRequirement'!A36,'Feb26'!$A$4:$L$56,10,FALSE),0)</f>
        <v/>
      </c>
      <c r="D36" s="1">
        <f>IFERROR(VLOOKUP('Jan-Mar26MHRequirement'!A36,'Mar26'!$A$4:$L$56,10,FALSE),0)</f>
        <v/>
      </c>
      <c r="E36" s="1">
        <f>SUM(B36:D36)</f>
        <v/>
      </c>
      <c r="F36" s="1" t="n"/>
      <c r="G36" s="1">
        <f>IFERROR(VLOOKUP('Jan-Mar26MHRequirement'!A36,'Jan26'!$A$4:$L$54,11,FALSE),0)</f>
        <v/>
      </c>
      <c r="H36" s="1">
        <f>IFERROR(VLOOKUP('Jan-Mar26MHRequirement'!A36,'Feb26'!A36:L87,11,FALSE),0)</f>
        <v/>
      </c>
      <c r="I36" s="1">
        <f>IFERROR(VLOOKUP('Jan-Mar26MHRequirement'!A36,'Mar26'!A36:L87,11,FALSE),0)</f>
        <v/>
      </c>
      <c r="K36" s="28">
        <f>E36-G36-H36-I36</f>
        <v/>
      </c>
    </row>
    <row r="37" ht="14.5" customHeight="1" s="125">
      <c r="A37" s="10" t="inlineStr">
        <is>
          <t>B767</t>
        </is>
      </c>
      <c r="B37" s="1">
        <f>IFERROR(VLOOKUP('Jan-Mar26MHRequirement'!A37,'Jan26'!$A$4:$L$54,10,FALSE),0)</f>
        <v/>
      </c>
      <c r="C37" s="1">
        <f>IFERROR(VLOOKUP('Jan-Mar26MHRequirement'!A37,'Feb26'!$A$4:$L$56,10,FALSE),0)</f>
        <v/>
      </c>
      <c r="D37" s="1">
        <f>IFERROR(VLOOKUP('Jan-Mar26MHRequirement'!A37,'Mar26'!$A$4:$L$56,10,FALSE),0)</f>
        <v/>
      </c>
      <c r="E37" s="1">
        <f>SUM(B37:D37)</f>
        <v/>
      </c>
      <c r="F37" s="1" t="n"/>
      <c r="G37" s="1">
        <f>IFERROR(VLOOKUP('Jan-Mar26MHRequirement'!A37,'Jan26'!$A$4:$L$54,11,FALSE),0)</f>
        <v/>
      </c>
      <c r="H37" s="1">
        <f>IFERROR(VLOOKUP('Jan-Mar26MHRequirement'!A37,'Feb26'!A37:L88,11,FALSE),0)</f>
        <v/>
      </c>
      <c r="I37" s="1">
        <f>IFERROR(VLOOKUP('Jan-Mar26MHRequirement'!A37,'Mar26'!A37:L88,11,FALSE),0)</f>
        <v/>
      </c>
      <c r="K37" s="28">
        <f>E37-G37-H37-I37</f>
        <v/>
      </c>
    </row>
    <row r="38" ht="14.5" customHeight="1" s="125">
      <c r="A38" s="10" t="inlineStr">
        <is>
          <t>B795</t>
        </is>
      </c>
      <c r="B38" s="1">
        <f>IFERROR(VLOOKUP('Jan-Mar26MHRequirement'!A38,'Jan26'!$A$4:$L$54,10,FALSE),0)</f>
        <v/>
      </c>
      <c r="C38" s="1">
        <f>IFERROR(VLOOKUP('Jan-Mar26MHRequirement'!A38,'Feb26'!$A$4:$L$56,10,FALSE),0)</f>
        <v/>
      </c>
      <c r="D38" s="1">
        <f>IFERROR(VLOOKUP('Jan-Mar26MHRequirement'!A38,'Mar26'!$A$4:$L$56,10,FALSE),0)</f>
        <v/>
      </c>
      <c r="E38" s="1">
        <f>SUM(B38:D38)</f>
        <v/>
      </c>
      <c r="F38" s="1" t="n"/>
      <c r="G38" s="1">
        <f>IFERROR(VLOOKUP('Jan-Mar26MHRequirement'!A38,'Jan26'!$A$4:$L$54,11,FALSE),0)</f>
        <v/>
      </c>
      <c r="H38" s="1">
        <f>IFERROR(VLOOKUP('Jan-Mar26MHRequirement'!A38,'Feb26'!A38:L89,11,FALSE),0)</f>
        <v/>
      </c>
      <c r="I38" s="1">
        <f>IFERROR(VLOOKUP('Jan-Mar26MHRequirement'!A38,'Mar26'!A38:L89,11,FALSE),0)</f>
        <v/>
      </c>
      <c r="K38" s="28">
        <f>E38-G38-H38-I38</f>
        <v/>
      </c>
    </row>
    <row r="39">
      <c r="A39" s="10" t="inlineStr">
        <is>
          <t>B813</t>
        </is>
      </c>
      <c r="B39" s="1">
        <f>IFERROR(VLOOKUP('Jan-Mar26MHRequirement'!A39,'Jan26'!$A$4:$L$54,10,FALSE),0)</f>
        <v/>
      </c>
      <c r="C39" s="1">
        <f>IFERROR(VLOOKUP('Jan-Mar26MHRequirement'!A39,'Feb26'!$A$4:$L$56,10,FALSE),0)</f>
        <v/>
      </c>
      <c r="D39" s="1">
        <f>IFERROR(VLOOKUP('Jan-Mar26MHRequirement'!A39,'Mar26'!$A$4:$L$56,10,FALSE),0)</f>
        <v/>
      </c>
      <c r="E39" s="1">
        <f>SUM(B39:D39)</f>
        <v/>
      </c>
      <c r="F39" s="1" t="n"/>
      <c r="G39" s="1">
        <f>IFERROR(VLOOKUP('Jan-Mar26MHRequirement'!A39,'Jan26'!$A$4:$L$54,11,FALSE),0)</f>
        <v/>
      </c>
      <c r="H39" s="1">
        <f>IFERROR(VLOOKUP('Jan-Mar26MHRequirement'!A39,'Feb26'!A39:L90,11,FALSE),0)</f>
        <v/>
      </c>
      <c r="I39" s="1">
        <f>IFERROR(VLOOKUP('Jan-Mar26MHRequirement'!A39,'Mar26'!A39:L90,11,FALSE),0)</f>
        <v/>
      </c>
      <c r="K39" s="28">
        <f>E39-G39-H39-I39</f>
        <v/>
      </c>
    </row>
    <row r="40">
      <c r="A40" s="10" t="inlineStr">
        <is>
          <t>B860</t>
        </is>
      </c>
      <c r="B40" s="1">
        <f>IFERROR(VLOOKUP('Jan-Mar26MHRequirement'!A40,'Jan26'!$A$4:$L$54,10,FALSE),0)</f>
        <v/>
      </c>
      <c r="C40" s="1">
        <f>IFERROR(VLOOKUP('Jan-Mar26MHRequirement'!A40,'Feb26'!$A$4:$L$56,10,FALSE),0)</f>
        <v/>
      </c>
      <c r="D40" s="1">
        <f>IFERROR(VLOOKUP('Jan-Mar26MHRequirement'!A40,'Mar26'!$A$4:$L$56,10,FALSE),0)</f>
        <v/>
      </c>
      <c r="E40" s="1">
        <f>SUM(B40:D40)</f>
        <v/>
      </c>
      <c r="F40" s="1" t="n"/>
      <c r="G40" s="1">
        <f>IFERROR(VLOOKUP('Jan-Mar26MHRequirement'!A40,'Jan26'!$A$4:$L$54,11,FALSE),0)</f>
        <v/>
      </c>
      <c r="H40" s="1">
        <f>IFERROR(VLOOKUP('Jan-Mar26MHRequirement'!A40,'Feb26'!A40:L91,11,FALSE),0)</f>
        <v/>
      </c>
      <c r="I40" s="1">
        <f>IFERROR(VLOOKUP('Jan-Mar26MHRequirement'!A40,'Mar26'!A40:L91,11,FALSE),0)</f>
        <v/>
      </c>
      <c r="K40" s="28">
        <f>E40-G40-H40-I40</f>
        <v/>
      </c>
    </row>
    <row r="41">
      <c r="A41" s="10" t="inlineStr">
        <is>
          <t>B861</t>
        </is>
      </c>
      <c r="B41" s="1">
        <f>IFERROR(VLOOKUP('Jan-Mar26MHRequirement'!A41,'Jan26'!$A$4:$L$54,10,FALSE),0)</f>
        <v/>
      </c>
      <c r="C41" s="1">
        <f>IFERROR(VLOOKUP('Jan-Mar26MHRequirement'!A41,'Feb26'!$A$4:$L$56,10,FALSE),0)</f>
        <v/>
      </c>
      <c r="D41" s="1">
        <f>IFERROR(VLOOKUP('Jan-Mar26MHRequirement'!A41,'Mar26'!$A$4:$L$56,10,FALSE),0)</f>
        <v/>
      </c>
      <c r="E41" s="1">
        <f>SUM(B41:D41)</f>
        <v/>
      </c>
      <c r="F41" s="1" t="n"/>
      <c r="G41" s="1">
        <f>IFERROR(VLOOKUP('Jan-Mar26MHRequirement'!A41,'Jan26'!$A$4:$L$54,11,FALSE),0)</f>
        <v/>
      </c>
      <c r="H41" s="1">
        <f>IFERROR(VLOOKUP('Jan-Mar26MHRequirement'!A41,'Feb26'!A41:L92,11,FALSE),0)</f>
        <v/>
      </c>
      <c r="I41" s="1">
        <f>IFERROR(VLOOKUP('Jan-Mar26MHRequirement'!A41,'Mar26'!A41:L92,11,FALSE),0)</f>
        <v/>
      </c>
      <c r="K41" s="28">
        <f>E41-G41-H41-I41</f>
        <v/>
      </c>
    </row>
    <row r="42">
      <c r="A42" s="10" t="inlineStr">
        <is>
          <t>B862</t>
        </is>
      </c>
      <c r="B42" s="1">
        <f>IFERROR(VLOOKUP('Jan-Mar26MHRequirement'!A42,'Jan26'!$A$4:$L$54,10,FALSE),0)</f>
        <v/>
      </c>
      <c r="C42" s="1">
        <f>IFERROR(VLOOKUP('Jan-Mar26MHRequirement'!A42,'Feb26'!$A$4:$L$56,10,FALSE),0)</f>
        <v/>
      </c>
      <c r="D42" s="1">
        <f>IFERROR(VLOOKUP('Jan-Mar26MHRequirement'!A42,'Mar26'!$A$4:$L$56,10,FALSE),0)</f>
        <v/>
      </c>
      <c r="E42" s="1">
        <f>SUM(B42:D42)</f>
        <v/>
      </c>
      <c r="F42" s="1" t="n"/>
      <c r="G42" s="1">
        <f>IFERROR(VLOOKUP('Jan-Mar26MHRequirement'!A42,'Jan26'!$A$4:$L$54,11,FALSE),0)</f>
        <v/>
      </c>
      <c r="H42" s="1">
        <f>IFERROR(VLOOKUP('Jan-Mar26MHRequirement'!A42,'Feb26'!A42:L93,11,FALSE),0)</f>
        <v/>
      </c>
      <c r="I42" s="1">
        <f>IFERROR(VLOOKUP('Jan-Mar26MHRequirement'!A42,'Mar26'!A42:L93,11,FALSE),0)</f>
        <v/>
      </c>
      <c r="K42" s="28">
        <f>E42-G42-H42-I42</f>
        <v/>
      </c>
    </row>
    <row r="43">
      <c r="A43" s="10" t="inlineStr">
        <is>
          <t>B865</t>
        </is>
      </c>
      <c r="B43" s="1">
        <f>IFERROR(VLOOKUP('Jan-Mar26MHRequirement'!A43,'Jan26'!$A$4:$L$54,10,FALSE),0)</f>
        <v/>
      </c>
      <c r="C43" s="1">
        <f>IFERROR(VLOOKUP('Jan-Mar26MHRequirement'!A43,'Feb26'!$A$4:$L$56,10,FALSE),0)</f>
        <v/>
      </c>
      <c r="D43" s="1">
        <f>IFERROR(VLOOKUP('Jan-Mar26MHRequirement'!A43,'Mar26'!$A$4:$L$56,10,FALSE),0)</f>
        <v/>
      </c>
      <c r="E43" s="1">
        <f>SUM(B43:D43)</f>
        <v/>
      </c>
      <c r="F43" s="1" t="n"/>
      <c r="G43" s="1">
        <f>IFERROR(VLOOKUP('Jan-Mar26MHRequirement'!A43,'Jan26'!$A$4:$L$54,11,FALSE),0)</f>
        <v/>
      </c>
      <c r="H43" s="1">
        <f>IFERROR(VLOOKUP('Jan-Mar26MHRequirement'!A43,'Feb26'!A43:L94,11,FALSE),0)</f>
        <v/>
      </c>
      <c r="I43" s="1">
        <f>IFERROR(VLOOKUP('Jan-Mar26MHRequirement'!A43,'Mar26'!A43:L94,11,FALSE),0)</f>
        <v/>
      </c>
      <c r="K43" s="28">
        <f>E43-G43-H43-I43</f>
        <v/>
      </c>
    </row>
    <row r="44">
      <c r="A44" s="10" t="inlineStr">
        <is>
          <t>B889</t>
        </is>
      </c>
      <c r="B44" s="1">
        <f>IFERROR(VLOOKUP('Jan-Mar26MHRequirement'!A44,'Jan26'!$A$4:$L$54,10,FALSE),0)</f>
        <v/>
      </c>
      <c r="C44" s="1">
        <f>IFERROR(VLOOKUP('Jan-Mar26MHRequirement'!A44,'Feb26'!$A$4:$L$56,10,FALSE),0)</f>
        <v/>
      </c>
      <c r="D44" s="1">
        <f>IFERROR(VLOOKUP('Jan-Mar26MHRequirement'!A44,'Mar26'!$A$4:$L$56,10,FALSE),0)</f>
        <v/>
      </c>
      <c r="E44" s="1">
        <f>SUM(B44:D44)</f>
        <v/>
      </c>
      <c r="F44" s="1" t="n"/>
      <c r="G44" s="1">
        <f>IFERROR(VLOOKUP('Jan-Mar26MHRequirement'!A44,'Jan26'!$A$4:$L$54,11,FALSE),0)</f>
        <v/>
      </c>
      <c r="H44" s="1">
        <f>IFERROR(VLOOKUP('Jan-Mar26MHRequirement'!A44,'Feb26'!A44:L95,11,FALSE),0)</f>
        <v/>
      </c>
      <c r="I44" s="1">
        <f>IFERROR(VLOOKUP('Jan-Mar26MHRequirement'!A44,'Mar26'!A44:L95,11,FALSE),0)</f>
        <v/>
      </c>
      <c r="K44" s="28">
        <f>E44-G44-H44-I44</f>
        <v/>
      </c>
    </row>
    <row r="45">
      <c r="A45" s="10" t="inlineStr">
        <is>
          <t>B895</t>
        </is>
      </c>
      <c r="B45" s="1">
        <f>IFERROR(VLOOKUP('Jan-Mar26MHRequirement'!A45,'Jan26'!$A$4:$L$54,10,FALSE),0)</f>
        <v/>
      </c>
      <c r="C45" s="1">
        <f>IFERROR(VLOOKUP('Jan-Mar26MHRequirement'!A45,'Feb26'!$A$4:$L$56,10,FALSE),0)</f>
        <v/>
      </c>
      <c r="D45" s="1">
        <f>IFERROR(VLOOKUP('Jan-Mar26MHRequirement'!A45,'Mar26'!$A$4:$L$56,10,FALSE),0)</f>
        <v/>
      </c>
      <c r="E45" s="1">
        <f>SUM(B45:D45)</f>
        <v/>
      </c>
      <c r="F45" s="1" t="n"/>
      <c r="G45" s="1">
        <f>IFERROR(VLOOKUP('Jan-Mar26MHRequirement'!A45,'Jan26'!$A$4:$L$54,11,FALSE),0)</f>
        <v/>
      </c>
      <c r="H45" s="1">
        <f>IFERROR(VLOOKUP('Jan-Mar26MHRequirement'!A45,'Feb26'!A45:L96,11,FALSE),0)</f>
        <v/>
      </c>
      <c r="I45" s="1">
        <f>IFERROR(VLOOKUP('Jan-Mar26MHRequirement'!A45,'Mar26'!A45:L96,11,FALSE),0)</f>
        <v/>
      </c>
      <c r="K45" s="28">
        <f>E45-G45-H45-I45</f>
        <v/>
      </c>
    </row>
    <row r="46">
      <c r="A46" s="10" t="inlineStr">
        <is>
          <t>B903</t>
        </is>
      </c>
      <c r="B46" s="1">
        <f>IFERROR(VLOOKUP('Jan-Mar26MHRequirement'!A46,'Jan26'!$A$4:$L$54,10,FALSE),0)</f>
        <v/>
      </c>
      <c r="C46" s="1">
        <f>IFERROR(VLOOKUP('Jan-Mar26MHRequirement'!A46,'Feb26'!$A$4:$L$56,10,FALSE),0)</f>
        <v/>
      </c>
      <c r="D46" s="1">
        <f>IFERROR(VLOOKUP('Jan-Mar26MHRequirement'!A46,'Mar26'!$A$4:$L$56,10,FALSE),0)</f>
        <v/>
      </c>
      <c r="E46" s="1">
        <f>SUM(B46:D46)</f>
        <v/>
      </c>
      <c r="F46" s="1" t="n"/>
      <c r="G46" s="1">
        <f>IFERROR(VLOOKUP('Jan-Mar26MHRequirement'!A46,'Jan26'!$A$4:$L$54,11,FALSE),0)</f>
        <v/>
      </c>
      <c r="H46" s="1">
        <f>IFERROR(VLOOKUP('Jan-Mar26MHRequirement'!A46,'Feb26'!A46:L97,11,FALSE),0)</f>
        <v/>
      </c>
      <c r="I46" s="1">
        <f>IFERROR(VLOOKUP('Jan-Mar26MHRequirement'!A46,'Mar26'!A46:L97,11,FALSE),0)</f>
        <v/>
      </c>
      <c r="K46" s="28">
        <f>E46-G46-H46-I46</f>
        <v/>
      </c>
    </row>
    <row r="47">
      <c r="A47" s="10" t="inlineStr">
        <is>
          <t>B904</t>
        </is>
      </c>
      <c r="B47" s="1">
        <f>IFERROR(VLOOKUP('Jan-Mar26MHRequirement'!A47,'Jan26'!$A$4:$L$54,10,FALSE),0)</f>
        <v/>
      </c>
      <c r="C47" s="1">
        <f>IFERROR(VLOOKUP('Jan-Mar26MHRequirement'!A47,'Feb26'!$A$4:$L$56,10,FALSE),0)</f>
        <v/>
      </c>
      <c r="D47" s="1">
        <f>IFERROR(VLOOKUP('Jan-Mar26MHRequirement'!A47,'Mar26'!$A$4:$L$56,10,FALSE),0)</f>
        <v/>
      </c>
      <c r="E47" s="1">
        <f>SUM(B47:D47)</f>
        <v/>
      </c>
      <c r="F47" s="1" t="n"/>
      <c r="G47" s="1">
        <f>IFERROR(VLOOKUP('Jan-Mar26MHRequirement'!A47,'Jan26'!$A$4:$L$54,11,FALSE),0)</f>
        <v/>
      </c>
      <c r="H47" s="1">
        <f>IFERROR(VLOOKUP('Jan-Mar26MHRequirement'!A47,'Feb26'!A47:L98,11,FALSE),0)</f>
        <v/>
      </c>
      <c r="I47" s="1">
        <f>IFERROR(VLOOKUP('Jan-Mar26MHRequirement'!A47,'Mar26'!A47:L98,11,FALSE),0)</f>
        <v/>
      </c>
      <c r="K47" s="28">
        <f>E47-G47-H47-I47</f>
        <v/>
      </c>
      <c r="P47" t="inlineStr">
        <is>
          <t xml:space="preserve"> </t>
        </is>
      </c>
    </row>
    <row r="48">
      <c r="A48" s="10" t="inlineStr">
        <is>
          <t>B933</t>
        </is>
      </c>
      <c r="B48" s="1">
        <f>IFERROR(VLOOKUP('Jan-Mar26MHRequirement'!A48,'Jan26'!$A$4:$L$54,10,FALSE),0)</f>
        <v/>
      </c>
      <c r="C48" s="1">
        <f>IFERROR(VLOOKUP('Jan-Mar26MHRequirement'!A48,'Feb26'!$A$4:$L$56,10,FALSE),0)</f>
        <v/>
      </c>
      <c r="D48" s="1">
        <f>IFERROR(VLOOKUP('Jan-Mar26MHRequirement'!A48,'Mar26'!$A$4:$L$56,10,FALSE),0)</f>
        <v/>
      </c>
      <c r="E48" s="1">
        <f>SUM(B48:D48)</f>
        <v/>
      </c>
      <c r="F48" s="1" t="n"/>
      <c r="G48" s="1">
        <f>IFERROR(VLOOKUP('Jan-Mar26MHRequirement'!A48,'Jan26'!$A$4:$L$54,11,FALSE),0)</f>
        <v/>
      </c>
      <c r="H48" s="1">
        <f>IFERROR(VLOOKUP('Jan-Mar26MHRequirement'!A48,'Feb26'!A48:L99,11,FALSE),0)</f>
        <v/>
      </c>
      <c r="I48" s="1">
        <f>IFERROR(VLOOKUP('Jan-Mar26MHRequirement'!A48,'Mar26'!A48:L99,11,FALSE),0)</f>
        <v/>
      </c>
      <c r="K48" s="28">
        <f>E48-G48-H48-I48</f>
        <v/>
      </c>
    </row>
    <row r="49">
      <c r="A49" s="10" t="inlineStr">
        <is>
          <t>B943</t>
        </is>
      </c>
      <c r="B49" s="1">
        <f>IFERROR(VLOOKUP('Jan-Mar26MHRequirement'!A49,'Jan26'!$A$4:$L$54,10,FALSE),0)</f>
        <v/>
      </c>
      <c r="C49" s="1">
        <f>IFERROR(VLOOKUP('Jan-Mar26MHRequirement'!A49,'Feb26'!$A$4:$L$56,10,FALSE),0)</f>
        <v/>
      </c>
      <c r="D49" s="1">
        <f>IFERROR(VLOOKUP('Jan-Mar26MHRequirement'!A49,'Mar26'!$A$4:$L$56,10,FALSE),0)</f>
        <v/>
      </c>
      <c r="E49" s="1">
        <f>SUM(B49:D49)</f>
        <v/>
      </c>
      <c r="F49" s="1" t="n"/>
      <c r="G49" s="1">
        <f>IFERROR(VLOOKUP('Jan-Mar26MHRequirement'!A49,'Jan26'!$A$4:$L$54,11,FALSE),0)</f>
        <v/>
      </c>
      <c r="H49" s="1">
        <f>IFERROR(VLOOKUP('Jan-Mar26MHRequirement'!A49,'Feb26'!A49:L100,11,FALSE),0)</f>
        <v/>
      </c>
      <c r="I49" s="1">
        <f>IFERROR(VLOOKUP('Jan-Mar26MHRequirement'!A49,'Mar26'!A49:L100,11,FALSE),0)</f>
        <v/>
      </c>
      <c r="K49" s="28">
        <f>E49-G49-H49-I49</f>
        <v/>
      </c>
    </row>
    <row r="50">
      <c r="A50" s="10" t="inlineStr">
        <is>
          <t>B957</t>
        </is>
      </c>
      <c r="B50" s="1">
        <f>IFERROR(VLOOKUP('Jan-Mar26MHRequirement'!A50,'Jan26'!$A$4:$L$54,10,FALSE),0)</f>
        <v/>
      </c>
      <c r="C50" s="1">
        <f>IFERROR(VLOOKUP('Jan-Mar26MHRequirement'!A50,'Feb26'!$A$4:$L$56,10,FALSE),0)</f>
        <v/>
      </c>
      <c r="D50" s="1">
        <f>IFERROR(VLOOKUP('Jan-Mar26MHRequirement'!A50,'Mar26'!$A$4:$L$56,10,FALSE),0)</f>
        <v/>
      </c>
      <c r="E50" s="1">
        <f>SUM(B50:D50)</f>
        <v/>
      </c>
      <c r="F50" s="1" t="n"/>
      <c r="G50" s="1">
        <f>IFERROR(VLOOKUP('Jan-Mar26MHRequirement'!A50,'Jan26'!$A$4:$L$54,11,FALSE),0)</f>
        <v/>
      </c>
      <c r="H50" s="1">
        <f>IFERROR(VLOOKUP('Jan-Mar26MHRequirement'!A50,'Feb26'!A50:L101,11,FALSE),0)</f>
        <v/>
      </c>
      <c r="I50" s="1">
        <f>IFERROR(VLOOKUP('Jan-Mar26MHRequirement'!A50,'Mar26'!A50:L101,11,FALSE),0)</f>
        <v/>
      </c>
      <c r="K50" s="28">
        <f>E50-G50-H50-I50</f>
        <v/>
      </c>
    </row>
    <row r="51">
      <c r="A51" s="10" t="inlineStr">
        <is>
          <t>B964</t>
        </is>
      </c>
      <c r="B51" s="1">
        <f>IFERROR(VLOOKUP('Jan-Mar26MHRequirement'!A51,'Jan26'!$A$4:$L$54,10,FALSE),0)</f>
        <v/>
      </c>
      <c r="C51" s="1">
        <f>IFERROR(VLOOKUP('Jan-Mar26MHRequirement'!A51,'Feb26'!$A$4:$L$56,10,FALSE),0)</f>
        <v/>
      </c>
      <c r="D51" s="1">
        <f>IFERROR(VLOOKUP('Jan-Mar26MHRequirement'!A51,'Mar26'!$A$4:$L$56,10,FALSE),0)</f>
        <v/>
      </c>
      <c r="E51" s="1">
        <f>SUM(B51:D51)</f>
        <v/>
      </c>
      <c r="F51" s="1" t="n"/>
      <c r="G51" s="1">
        <f>IFERROR(VLOOKUP('Jan-Mar26MHRequirement'!A51,'Jan26'!$A$4:$L$54,11,FALSE),0)</f>
        <v/>
      </c>
      <c r="H51" s="1">
        <f>IFERROR(VLOOKUP('Jan-Mar26MHRequirement'!A51,'Feb26'!A51:L102,11,FALSE),0)</f>
        <v/>
      </c>
      <c r="I51" s="1">
        <f>IFERROR(VLOOKUP('Jan-Mar26MHRequirement'!A51,'Mar26'!A51:L102,11,FALSE),0)</f>
        <v/>
      </c>
      <c r="K51" s="28">
        <f>E51-G51-H51-I51</f>
        <v/>
      </c>
    </row>
    <row r="52">
      <c r="A52" s="10" t="inlineStr">
        <is>
          <t>C007</t>
        </is>
      </c>
      <c r="B52" s="1">
        <f>IFERROR(VLOOKUP('Jan-Mar26MHRequirement'!A52,'Jan26'!$A$4:$L$54,10,FALSE),0)</f>
        <v/>
      </c>
      <c r="C52" s="1">
        <f>IFERROR(VLOOKUP('Jan-Mar26MHRequirement'!A52,'Feb26'!$A$4:$L$56,10,FALSE),0)</f>
        <v/>
      </c>
      <c r="D52" s="1">
        <f>IFERROR(VLOOKUP('Jan-Mar26MHRequirement'!A52,'Mar26'!$A$4:$L$56,10,FALSE),0)</f>
        <v/>
      </c>
      <c r="E52" s="1">
        <f>SUM(B52:D52)</f>
        <v/>
      </c>
      <c r="F52" s="1" t="n"/>
      <c r="G52" s="1">
        <f>IFERROR(VLOOKUP('Jan-Mar26MHRequirement'!A52,'Jan26'!$A$4:$L$54,11,FALSE),0)</f>
        <v/>
      </c>
      <c r="H52" s="1">
        <f>IFERROR(VLOOKUP('Jan-Mar26MHRequirement'!A52,'Feb26'!A52:L103,11,FALSE),0)</f>
        <v/>
      </c>
      <c r="I52" s="1">
        <f>IFERROR(VLOOKUP('Jan-Mar26MHRequirement'!A52,'Mar26'!A52:L103,11,FALSE),0)</f>
        <v/>
      </c>
      <c r="K52" s="28">
        <f>E52-G52-H52-I52</f>
        <v/>
      </c>
    </row>
    <row r="53">
      <c r="A53" s="10" t="inlineStr">
        <is>
          <t>C028</t>
        </is>
      </c>
      <c r="B53" s="1">
        <f>IFERROR(VLOOKUP('Jan-Mar26MHRequirement'!A53,'Jan26'!$A$4:$L$54,10,FALSE),0)</f>
        <v/>
      </c>
      <c r="C53" s="1">
        <f>IFERROR(VLOOKUP('Jan-Mar26MHRequirement'!A53,'Feb26'!$A$4:$L$56,10,FALSE),0)</f>
        <v/>
      </c>
      <c r="D53" s="1">
        <f>IFERROR(VLOOKUP('Jan-Mar26MHRequirement'!A53,'Mar26'!$A$4:$L$56,10,FALSE),0)</f>
        <v/>
      </c>
      <c r="E53" s="1">
        <f>SUM(B53:D53)</f>
        <v/>
      </c>
      <c r="F53" s="1" t="n"/>
      <c r="G53" s="1">
        <f>IFERROR(VLOOKUP('Jan-Mar26MHRequirement'!A53,'Jan26'!$A$4:$L$54,11,FALSE),0)</f>
        <v/>
      </c>
      <c r="H53" s="1">
        <f>IFERROR(VLOOKUP('Jan-Mar26MHRequirement'!A53,'Feb26'!A53:L104,11,FALSE),0)</f>
        <v/>
      </c>
      <c r="I53" s="1">
        <f>IFERROR(VLOOKUP('Jan-Mar26MHRequirement'!A53,'Mar26'!A53:L104,11,FALSE),0)</f>
        <v/>
      </c>
      <c r="K53" s="28">
        <f>E53-G53-H53-I53</f>
        <v/>
      </c>
    </row>
    <row r="54">
      <c r="A54" s="10" t="inlineStr">
        <is>
          <t>C068</t>
        </is>
      </c>
      <c r="B54" s="1">
        <f>IFERROR(VLOOKUP('Jan-Mar26MHRequirement'!A54,'Jan26'!$A$4:$L$54,10,FALSE),0)</f>
        <v/>
      </c>
      <c r="C54" s="1">
        <f>IFERROR(VLOOKUP('Jan-Mar26MHRequirement'!A54,'Feb26'!$A$4:$L$56,10,FALSE),0)</f>
        <v/>
      </c>
      <c r="D54" s="1">
        <f>IFERROR(VLOOKUP('Jan-Mar26MHRequirement'!A54,'Mar26'!$A$4:$L$56,10,FALSE),0)</f>
        <v/>
      </c>
      <c r="E54" s="1">
        <f>SUM(B54:D54)</f>
        <v/>
      </c>
      <c r="F54" s="1" t="n"/>
      <c r="G54" s="1">
        <f>IFERROR(VLOOKUP('Jan-Mar26MHRequirement'!A54,'Jan26'!$A$4:$L$54,11,FALSE),0)</f>
        <v/>
      </c>
      <c r="H54" s="1">
        <f>IFERROR(VLOOKUP('Jan-Mar26MHRequirement'!A54,'Feb26'!A54:L105,11,FALSE),0)</f>
        <v/>
      </c>
      <c r="I54" s="1">
        <f>IFERROR(VLOOKUP('Jan-Mar26MHRequirement'!A54,'Mar26'!A54:L105,11,FALSE),0)</f>
        <v/>
      </c>
      <c r="K54" s="28">
        <f>E54-G54-H54-I54</f>
        <v/>
      </c>
    </row>
    <row r="55">
      <c r="A55" s="3" t="n"/>
    </row>
  </sheetData>
  <autoFilter ref="A3:K53"/>
  <mergeCells count="1">
    <mergeCell ref="M3:O3"/>
  </mergeCells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H5" sqref="H5"/>
    </sheetView>
  </sheetViews>
  <sheetFormatPr baseColWidth="8" defaultRowHeight="14.5"/>
  <cols>
    <col width="7.6328125" customWidth="1" style="125" min="1" max="1"/>
    <col width="11.453125" customWidth="1" style="125" min="2" max="2"/>
    <col width="7.90625" customWidth="1" style="125" min="3" max="4"/>
    <col width="6" customWidth="1" style="125" min="5" max="5"/>
    <col width="13.453125" customWidth="1" style="125" min="6" max="6"/>
    <col width="9.54296875" customWidth="1" style="125" min="7" max="7"/>
    <col width="8.90625" customWidth="1" style="125" min="8" max="8"/>
    <col width="5.6328125" customWidth="1" style="125" min="9" max="9"/>
    <col width="14.1796875" customWidth="1" style="125" min="10" max="10"/>
    <col width="19.08984375" customWidth="1" style="125" min="11" max="11"/>
    <col width="18.6328125" customWidth="1" style="125" min="12" max="12"/>
  </cols>
  <sheetData>
    <row r="1">
      <c r="A1" s="13" t="inlineStr">
        <is>
          <t>Manhour requirement from Project for the month of jul 23, Aug 23 ,Sep 23</t>
        </is>
      </c>
    </row>
    <row r="2">
      <c r="A2" s="124" t="n"/>
    </row>
    <row r="3" ht="43.5" customHeight="1" s="125">
      <c r="A3" t="inlineStr">
        <is>
          <t>Project vertical</t>
        </is>
      </c>
      <c r="B3" t="inlineStr">
        <is>
          <t>Job number</t>
        </is>
      </c>
      <c r="C3" t="inlineStr">
        <is>
          <t>Manhour required</t>
        </is>
      </c>
      <c r="F3" t="inlineStr">
        <is>
          <t>Total Required</t>
        </is>
      </c>
      <c r="G3" t="inlineStr">
        <is>
          <t>Manhour allocated</t>
        </is>
      </c>
      <c r="J3" t="inlineStr">
        <is>
          <t>Total allocated</t>
        </is>
      </c>
      <c r="K3" s="14" t="inlineStr">
        <is>
          <t>Manhour pending from project</t>
        </is>
      </c>
      <c r="L3" s="14" t="inlineStr">
        <is>
          <t xml:space="preserve">Manhour required to complete time sheets </t>
        </is>
      </c>
    </row>
    <row r="4">
      <c r="C4" t="inlineStr">
        <is>
          <t xml:space="preserve">July </t>
        </is>
      </c>
      <c r="D4" t="inlineStr">
        <is>
          <t xml:space="preserve">aug </t>
        </is>
      </c>
      <c r="E4" t="inlineStr">
        <is>
          <t>sep</t>
        </is>
      </c>
      <c r="G4" t="inlineStr">
        <is>
          <t xml:space="preserve">July </t>
        </is>
      </c>
      <c r="H4" t="inlineStr">
        <is>
          <t xml:space="preserve">aug </t>
        </is>
      </c>
      <c r="I4" t="inlineStr">
        <is>
          <t>sep</t>
        </is>
      </c>
    </row>
    <row r="5" ht="14.5" customHeight="1" s="125">
      <c r="A5" t="inlineStr">
        <is>
          <t>D</t>
        </is>
      </c>
      <c r="B5" s="1" t="inlineStr">
        <is>
          <t>B269</t>
        </is>
      </c>
      <c r="C5">
        <f>IFERROR(VLOOKUP('Jul-Sep23PjtMHShortfall'!B5,#REF!,7,FALSE),0)</f>
        <v/>
      </c>
      <c r="D5">
        <f>IFERROR(VLOOKUP('Jul-Sep23PjtMHShortfall'!B5,#REF!,7,FALSE),0)</f>
        <v/>
      </c>
      <c r="E5">
        <f>IFERROR(VLOOKUP('Jul-Sep23PjtMHShortfall'!B5,#REF!,2,FALSE),0)</f>
        <v/>
      </c>
      <c r="G5">
        <f>IFERROR(VLOOKUP('Jul-Sep23PjtMHShortfall'!B5,#REF!,8,FALSE),0)</f>
        <v/>
      </c>
      <c r="H5">
        <f>IFERROR(VLOOKUP('Jul-Sep23PjtMHShortfall'!B5,#REF!,8,FALSE),0)</f>
        <v/>
      </c>
      <c r="I5">
        <f>IFERROR(VLOOKUP('Jul-Sep23PjtMHShortfall'!B5,#REF!,3,FALSE),0)</f>
        <v/>
      </c>
      <c r="J5">
        <f>SUM(C5:E5)</f>
        <v/>
      </c>
      <c r="K5">
        <f>J5-G5-H5-I5</f>
        <v/>
      </c>
    </row>
    <row r="6" ht="14.5" customHeight="1" s="125">
      <c r="A6" t="inlineStr">
        <is>
          <t>B</t>
        </is>
      </c>
      <c r="B6" s="1" t="inlineStr">
        <is>
          <t>B297</t>
        </is>
      </c>
      <c r="C6">
        <f>IFERROR(VLOOKUP('Jul-Sep23PjtMHShortfall'!B6,#REF!,7,FALSE),0)</f>
        <v/>
      </c>
      <c r="D6">
        <f>IFERROR(VLOOKUP('Jul-Sep23PjtMHShortfall'!B6,#REF!,7,FALSE),0)</f>
        <v/>
      </c>
      <c r="E6">
        <f>IFERROR(VLOOKUP('Jul-Sep23PjtMHShortfall'!B6,#REF!,2,FALSE),0)</f>
        <v/>
      </c>
      <c r="G6">
        <f>IFERROR(VLOOKUP('Jul-Sep23PjtMHShortfall'!B6,#REF!,8,FALSE),0)</f>
        <v/>
      </c>
      <c r="H6">
        <f>IFERROR(VLOOKUP('Jul-Sep23PjtMHShortfall'!B6,#REF!,8,FALSE),0)</f>
        <v/>
      </c>
      <c r="I6">
        <f>IFERROR(VLOOKUP('Jul-Sep23PjtMHShortfall'!B6,#REF!,3,FALSE),0)</f>
        <v/>
      </c>
      <c r="J6">
        <f>SUM(C6:E6)</f>
        <v/>
      </c>
      <c r="K6">
        <f>J6-G6-H6-I6</f>
        <v/>
      </c>
    </row>
    <row r="7" ht="14.5" customHeight="1" s="125">
      <c r="A7" t="inlineStr">
        <is>
          <t>D</t>
        </is>
      </c>
      <c r="B7" s="1" t="inlineStr">
        <is>
          <t>B378</t>
        </is>
      </c>
      <c r="C7">
        <f>IFERROR(VLOOKUP('Jul-Sep23PjtMHShortfall'!B7,#REF!,7,FALSE),0)</f>
        <v/>
      </c>
      <c r="D7">
        <f>IFERROR(VLOOKUP('Jul-Sep23PjtMHShortfall'!B7,#REF!,7,FALSE),0)</f>
        <v/>
      </c>
      <c r="E7">
        <f>IFERROR(VLOOKUP('Jul-Sep23PjtMHShortfall'!B7,#REF!,2,FALSE),0)</f>
        <v/>
      </c>
      <c r="G7">
        <f>IFERROR(VLOOKUP('Jul-Sep23PjtMHShortfall'!B7,#REF!,8,FALSE),0)</f>
        <v/>
      </c>
      <c r="H7">
        <f>IFERROR(VLOOKUP('Jul-Sep23PjtMHShortfall'!B7,#REF!,8,FALSE),0)</f>
        <v/>
      </c>
      <c r="I7">
        <f>IFERROR(VLOOKUP('Jul-Sep23PjtMHShortfall'!B7,#REF!,3,FALSE),0)</f>
        <v/>
      </c>
      <c r="J7">
        <f>SUM(C7:E7)</f>
        <v/>
      </c>
      <c r="K7">
        <f>J7-G7-H7-I7</f>
        <v/>
      </c>
    </row>
    <row r="8" ht="14.5" customHeight="1" s="125">
      <c r="A8" t="inlineStr">
        <is>
          <t>E</t>
        </is>
      </c>
      <c r="B8" s="1" t="inlineStr">
        <is>
          <t>B229</t>
        </is>
      </c>
      <c r="C8">
        <f>IFERROR(VLOOKUP('Jul-Sep23PjtMHShortfall'!B8,#REF!,7,FALSE),0)</f>
        <v/>
      </c>
      <c r="D8">
        <f>IFERROR(VLOOKUP('Jul-Sep23PjtMHShortfall'!B8,#REF!,7,FALSE),0)</f>
        <v/>
      </c>
      <c r="E8">
        <f>IFERROR(VLOOKUP('Jul-Sep23PjtMHShortfall'!B8,#REF!,2,FALSE),0)</f>
        <v/>
      </c>
      <c r="G8">
        <f>IFERROR(VLOOKUP('Jul-Sep23PjtMHShortfall'!B8,#REF!,8,FALSE),0)</f>
        <v/>
      </c>
      <c r="H8">
        <f>IFERROR(VLOOKUP('Jul-Sep23PjtMHShortfall'!B8,#REF!,8,FALSE),0)</f>
        <v/>
      </c>
      <c r="I8">
        <f>IFERROR(VLOOKUP('Jul-Sep23PjtMHShortfall'!B8,#REF!,3,FALSE),0)</f>
        <v/>
      </c>
      <c r="J8">
        <f>SUM(C8:E8)</f>
        <v/>
      </c>
      <c r="K8">
        <f>J8-G8-H8-I8</f>
        <v/>
      </c>
    </row>
    <row r="9" ht="14.5" customHeight="1" s="125">
      <c r="A9" t="inlineStr">
        <is>
          <t>D</t>
        </is>
      </c>
      <c r="B9" s="1" t="inlineStr">
        <is>
          <t>B348</t>
        </is>
      </c>
      <c r="C9">
        <f>IFERROR(VLOOKUP('Jul-Sep23PjtMHShortfall'!B9,#REF!,7,FALSE),0)</f>
        <v/>
      </c>
      <c r="D9">
        <f>IFERROR(VLOOKUP('Jul-Sep23PjtMHShortfall'!B9,#REF!,7,FALSE),0)</f>
        <v/>
      </c>
      <c r="E9">
        <f>IFERROR(VLOOKUP('Jul-Sep23PjtMHShortfall'!B9,#REF!,2,FALSE),0)</f>
        <v/>
      </c>
      <c r="G9">
        <f>IFERROR(VLOOKUP('Jul-Sep23PjtMHShortfall'!B9,#REF!,8,FALSE),0)</f>
        <v/>
      </c>
      <c r="H9">
        <f>IFERROR(VLOOKUP('Jul-Sep23PjtMHShortfall'!B9,#REF!,8,FALSE),0)</f>
        <v/>
      </c>
      <c r="I9">
        <f>IFERROR(VLOOKUP('Jul-Sep23PjtMHShortfall'!B9,#REF!,3,FALSE),0)</f>
        <v/>
      </c>
      <c r="J9">
        <f>SUM(C9:E9)</f>
        <v/>
      </c>
      <c r="K9">
        <f>J9-G9-H9-I9</f>
        <v/>
      </c>
    </row>
    <row r="10" ht="14.5" customHeight="1" s="125">
      <c r="A10" t="inlineStr">
        <is>
          <t>C</t>
        </is>
      </c>
      <c r="B10" s="1" t="inlineStr">
        <is>
          <t>B038</t>
        </is>
      </c>
      <c r="C10">
        <f>IFERROR(VLOOKUP('Jul-Sep23PjtMHShortfall'!B10,#REF!,7,FALSE),0)</f>
        <v/>
      </c>
      <c r="D10">
        <f>IFERROR(VLOOKUP('Jul-Sep23PjtMHShortfall'!B10,#REF!,7,FALSE),0)</f>
        <v/>
      </c>
      <c r="E10">
        <f>IFERROR(VLOOKUP('Jul-Sep23PjtMHShortfall'!B10,#REF!,2,FALSE),0)</f>
        <v/>
      </c>
      <c r="G10">
        <f>IFERROR(VLOOKUP('Jul-Sep23PjtMHShortfall'!B10,#REF!,8,FALSE),0)</f>
        <v/>
      </c>
      <c r="H10">
        <f>IFERROR(VLOOKUP('Jul-Sep23PjtMHShortfall'!B10,#REF!,8,FALSE),0)</f>
        <v/>
      </c>
      <c r="I10">
        <f>IFERROR(VLOOKUP('Jul-Sep23PjtMHShortfall'!B10,#REF!,3,FALSE),0)</f>
        <v/>
      </c>
      <c r="J10">
        <f>SUM(C10:E10)</f>
        <v/>
      </c>
      <c r="K10">
        <f>J10-G10-H10-I10</f>
        <v/>
      </c>
    </row>
    <row r="11" ht="14.5" customHeight="1" s="125">
      <c r="A11" t="inlineStr">
        <is>
          <t>E</t>
        </is>
      </c>
      <c r="B11" s="1" t="inlineStr">
        <is>
          <t xml:space="preserve">B224 </t>
        </is>
      </c>
      <c r="C11">
        <f>IFERROR(VLOOKUP('Jul-Sep23PjtMHShortfall'!B11,#REF!,7,FALSE),0)</f>
        <v/>
      </c>
      <c r="D11">
        <f>IFERROR(VLOOKUP('Jul-Sep23PjtMHShortfall'!B11,#REF!,7,FALSE),0)</f>
        <v/>
      </c>
      <c r="E11">
        <f>IFERROR(VLOOKUP('Jul-Sep23PjtMHShortfall'!B11,#REF!,2,FALSE),0)</f>
        <v/>
      </c>
      <c r="G11">
        <f>IFERROR(VLOOKUP('Jul-Sep23PjtMHShortfall'!B11,#REF!,8,FALSE),0)</f>
        <v/>
      </c>
      <c r="H11">
        <f>IFERROR(VLOOKUP('Jul-Sep23PjtMHShortfall'!B11,#REF!,8,FALSE),0)</f>
        <v/>
      </c>
      <c r="I11">
        <f>IFERROR(VLOOKUP('Jul-Sep23PjtMHShortfall'!B11,#REF!,3,FALSE),0)</f>
        <v/>
      </c>
      <c r="J11">
        <f>SUM(C11:E11)</f>
        <v/>
      </c>
      <c r="K11">
        <f>J11-G11-H11-I11</f>
        <v/>
      </c>
    </row>
    <row r="12" ht="14.5" customHeight="1" s="125">
      <c r="A12" t="inlineStr">
        <is>
          <t>E</t>
        </is>
      </c>
      <c r="B12" s="1" t="inlineStr">
        <is>
          <t>B215</t>
        </is>
      </c>
      <c r="C12">
        <f>IFERROR(VLOOKUP('Jul-Sep23PjtMHShortfall'!B12,#REF!,7,FALSE),0)</f>
        <v/>
      </c>
      <c r="D12">
        <f>IFERROR(VLOOKUP('Jul-Sep23PjtMHShortfall'!B12,#REF!,7,FALSE),0)</f>
        <v/>
      </c>
      <c r="E12">
        <f>IFERROR(VLOOKUP('Jul-Sep23PjtMHShortfall'!B12,#REF!,2,FALSE),0)</f>
        <v/>
      </c>
      <c r="G12">
        <f>IFERROR(VLOOKUP('Jul-Sep23PjtMHShortfall'!B12,#REF!,8,FALSE),0)</f>
        <v/>
      </c>
      <c r="H12">
        <f>IFERROR(VLOOKUP('Jul-Sep23PjtMHShortfall'!B12,#REF!,8,FALSE),0)</f>
        <v/>
      </c>
      <c r="I12">
        <f>IFERROR(VLOOKUP('Jul-Sep23PjtMHShortfall'!B12,#REF!,3,FALSE),0)</f>
        <v/>
      </c>
      <c r="J12">
        <f>SUM(C12:E12)</f>
        <v/>
      </c>
      <c r="K12">
        <f>J12-G12-H12-I12</f>
        <v/>
      </c>
    </row>
    <row r="13" ht="14.5" customHeight="1" s="125">
      <c r="A13" t="inlineStr">
        <is>
          <t>B</t>
        </is>
      </c>
      <c r="B13" s="1" t="inlineStr">
        <is>
          <t>B302</t>
        </is>
      </c>
      <c r="C13">
        <f>IFERROR(VLOOKUP('Jul-Sep23PjtMHShortfall'!B13,#REF!,7,FALSE),0)</f>
        <v/>
      </c>
      <c r="D13">
        <f>IFERROR(VLOOKUP('Jul-Sep23PjtMHShortfall'!B13,#REF!,7,FALSE),0)</f>
        <v/>
      </c>
      <c r="E13">
        <f>IFERROR(VLOOKUP('Jul-Sep23PjtMHShortfall'!B13,#REF!,2,FALSE),0)</f>
        <v/>
      </c>
      <c r="G13">
        <f>IFERROR(VLOOKUP('Jul-Sep23PjtMHShortfall'!B13,#REF!,8,FALSE),0)</f>
        <v/>
      </c>
      <c r="H13">
        <f>IFERROR(VLOOKUP('Jul-Sep23PjtMHShortfall'!B13,#REF!,8,FALSE),0)</f>
        <v/>
      </c>
      <c r="I13">
        <f>IFERROR(VLOOKUP('Jul-Sep23PjtMHShortfall'!B13,#REF!,3,FALSE),0)</f>
        <v/>
      </c>
      <c r="J13">
        <f>SUM(C13:E13)</f>
        <v/>
      </c>
      <c r="K13">
        <f>J13-G13-H13-I13</f>
        <v/>
      </c>
    </row>
    <row r="14">
      <c r="A14" t="inlineStr">
        <is>
          <t>B</t>
        </is>
      </c>
      <c r="B14" s="1" t="inlineStr">
        <is>
          <t>B035</t>
        </is>
      </c>
      <c r="C14">
        <f>IFERROR(VLOOKUP('Jul-Sep23PjtMHShortfall'!B14,#REF!,7,FALSE),0)</f>
        <v/>
      </c>
      <c r="D14">
        <f>IFERROR(VLOOKUP('Jul-Sep23PjtMHShortfall'!B14,#REF!,7,FALSE),0)</f>
        <v/>
      </c>
      <c r="E14">
        <f>IFERROR(VLOOKUP('Jul-Sep23PjtMHShortfall'!B14,#REF!,2,FALSE),0)</f>
        <v/>
      </c>
      <c r="G14">
        <f>IFERROR(VLOOKUP('Jul-Sep23PjtMHShortfall'!B14,#REF!,8,FALSE),0)</f>
        <v/>
      </c>
      <c r="H14">
        <f>IFERROR(VLOOKUP('Jul-Sep23PjtMHShortfall'!B14,#REF!,8,FALSE),0)</f>
        <v/>
      </c>
      <c r="I14">
        <f>IFERROR(VLOOKUP('Jul-Sep23PjtMHShortfall'!B14,#REF!,3,FALSE),0)</f>
        <v/>
      </c>
      <c r="J14">
        <f>SUM(C14:E14)</f>
        <v/>
      </c>
      <c r="K14">
        <f>J14-G14-H14-I14</f>
        <v/>
      </c>
    </row>
    <row r="15" ht="14.5" customHeight="1" s="125">
      <c r="A15" t="inlineStr">
        <is>
          <t>B</t>
        </is>
      </c>
      <c r="B15" s="1" t="inlineStr">
        <is>
          <t>B436</t>
        </is>
      </c>
      <c r="C15">
        <f>IFERROR(VLOOKUP('Jul-Sep23PjtMHShortfall'!B15,#REF!,7,FALSE),0)</f>
        <v/>
      </c>
      <c r="D15">
        <f>IFERROR(VLOOKUP('Jul-Sep23PjtMHShortfall'!B15,#REF!,7,FALSE),0)</f>
        <v/>
      </c>
      <c r="E15">
        <f>IFERROR(VLOOKUP('Jul-Sep23PjtMHShortfall'!B15,#REF!,2,FALSE),0)</f>
        <v/>
      </c>
      <c r="G15">
        <f>IFERROR(VLOOKUP('Jul-Sep23PjtMHShortfall'!B15,#REF!,8,FALSE),0)</f>
        <v/>
      </c>
      <c r="H15">
        <f>IFERROR(VLOOKUP('Jul-Sep23PjtMHShortfall'!B15,#REF!,8,FALSE),0)</f>
        <v/>
      </c>
      <c r="I15">
        <f>IFERROR(VLOOKUP('Jul-Sep23PjtMHShortfall'!B15,#REF!,3,FALSE),0)</f>
        <v/>
      </c>
      <c r="J15">
        <f>SUM(C15:E15)</f>
        <v/>
      </c>
      <c r="K15">
        <f>J15-G15-H15-I15</f>
        <v/>
      </c>
    </row>
    <row r="16">
      <c r="A16" t="inlineStr">
        <is>
          <t>B</t>
        </is>
      </c>
      <c r="B16" s="1" t="inlineStr">
        <is>
          <t xml:space="preserve">B575 </t>
        </is>
      </c>
      <c r="C16">
        <f>IFERROR(VLOOKUP('Jul-Sep23PjtMHShortfall'!B16,#REF!,7,FALSE),0)</f>
        <v/>
      </c>
      <c r="D16">
        <f>IFERROR(VLOOKUP('Jul-Sep23PjtMHShortfall'!B16,#REF!,7,FALSE),0)</f>
        <v/>
      </c>
      <c r="E16">
        <f>IFERROR(VLOOKUP('Jul-Sep23PjtMHShortfall'!B16,#REF!,2,FALSE),0)</f>
        <v/>
      </c>
      <c r="G16">
        <f>IFERROR(VLOOKUP('Jul-Sep23PjtMHShortfall'!B16,#REF!,8,FALSE),0)</f>
        <v/>
      </c>
      <c r="H16">
        <f>IFERROR(VLOOKUP('Jul-Sep23PjtMHShortfall'!B16,#REF!,8,FALSE),0)</f>
        <v/>
      </c>
      <c r="I16">
        <f>IFERROR(VLOOKUP('Jul-Sep23PjtMHShortfall'!B16,#REF!,3,FALSE),0)</f>
        <v/>
      </c>
      <c r="J16">
        <f>SUM(C16:E16)</f>
        <v/>
      </c>
      <c r="K16">
        <f>J16-G16-H16-I16</f>
        <v/>
      </c>
    </row>
    <row r="17">
      <c r="A17" t="inlineStr">
        <is>
          <t>B</t>
        </is>
      </c>
      <c r="B17" s="10" t="inlineStr">
        <is>
          <t>B448</t>
        </is>
      </c>
      <c r="C17">
        <f>IFERROR(VLOOKUP('Jul-Sep23PjtMHShortfall'!B17,#REF!,7,FALSE),0)</f>
        <v/>
      </c>
      <c r="D17">
        <f>IFERROR(VLOOKUP('Jul-Sep23PjtMHShortfall'!B17,#REF!,7,FALSE),0)</f>
        <v/>
      </c>
      <c r="E17">
        <f>IFERROR(VLOOKUP('Jul-Sep23PjtMHShortfall'!B17,#REF!,2,FALSE),0)</f>
        <v/>
      </c>
      <c r="G17">
        <f>IFERROR(VLOOKUP('Jul-Sep23PjtMHShortfall'!B17,#REF!,8,FALSE),0)</f>
        <v/>
      </c>
      <c r="H17">
        <f>IFERROR(VLOOKUP('Jul-Sep23PjtMHShortfall'!B17,#REF!,8,FALSE),0)</f>
        <v/>
      </c>
      <c r="I17">
        <f>IFERROR(VLOOKUP('Jul-Sep23PjtMHShortfall'!B17,#REF!,3,FALSE),0)</f>
        <v/>
      </c>
      <c r="J17">
        <f>SUM(C17:E17)</f>
        <v/>
      </c>
      <c r="K17">
        <f>J17-G17-H17-I17</f>
        <v/>
      </c>
    </row>
    <row r="18" ht="14.5" customHeight="1" s="125">
      <c r="A18" t="inlineStr">
        <is>
          <t>E</t>
        </is>
      </c>
      <c r="B18" s="1" t="inlineStr">
        <is>
          <t>B440</t>
        </is>
      </c>
      <c r="C18">
        <f>IFERROR(VLOOKUP('Jul-Sep23PjtMHShortfall'!B18,#REF!,7,FALSE),0)</f>
        <v/>
      </c>
      <c r="D18">
        <f>IFERROR(VLOOKUP('Jul-Sep23PjtMHShortfall'!B18,#REF!,7,FALSE),0)</f>
        <v/>
      </c>
      <c r="E18">
        <f>IFERROR(VLOOKUP('Jul-Sep23PjtMHShortfall'!B18,#REF!,2,FALSE),0)</f>
        <v/>
      </c>
      <c r="G18">
        <f>IFERROR(VLOOKUP('Jul-Sep23PjtMHShortfall'!B18,#REF!,8,FALSE),0)</f>
        <v/>
      </c>
      <c r="H18">
        <f>IFERROR(VLOOKUP('Jul-Sep23PjtMHShortfall'!B18,#REF!,8,FALSE),0)</f>
        <v/>
      </c>
      <c r="I18">
        <f>IFERROR(VLOOKUP('Jul-Sep23PjtMHShortfall'!B18,#REF!,3,FALSE),0)</f>
        <v/>
      </c>
      <c r="J18">
        <f>SUM(C18:E18)</f>
        <v/>
      </c>
      <c r="K18">
        <f>J18-G18-H18-I18</f>
        <v/>
      </c>
    </row>
    <row r="19">
      <c r="A19" t="inlineStr">
        <is>
          <t>B</t>
        </is>
      </c>
      <c r="B19" s="1" t="inlineStr">
        <is>
          <t>B589</t>
        </is>
      </c>
      <c r="C19">
        <f>IFERROR(VLOOKUP('Jul-Sep23PjtMHShortfall'!B19,#REF!,7,FALSE),0)</f>
        <v/>
      </c>
      <c r="D19">
        <f>IFERROR(VLOOKUP('Jul-Sep23PjtMHShortfall'!B19,#REF!,7,FALSE),0)</f>
        <v/>
      </c>
      <c r="E19">
        <f>IFERROR(VLOOKUP('Jul-Sep23PjtMHShortfall'!B19,#REF!,2,FALSE),0)</f>
        <v/>
      </c>
      <c r="G19">
        <f>IFERROR(VLOOKUP('Jul-Sep23PjtMHShortfall'!B19,#REF!,8,FALSE),0)</f>
        <v/>
      </c>
      <c r="H19">
        <f>IFERROR(VLOOKUP('Jul-Sep23PjtMHShortfall'!B19,#REF!,8,FALSE),0)</f>
        <v/>
      </c>
      <c r="I19">
        <f>IFERROR(VLOOKUP('Jul-Sep23PjtMHShortfall'!B19,#REF!,3,FALSE),0)</f>
        <v/>
      </c>
      <c r="J19">
        <f>SUM(C19:E19)</f>
        <v/>
      </c>
      <c r="K19">
        <f>J19-G19-H19-I19</f>
        <v/>
      </c>
    </row>
    <row r="20" ht="14.5" customHeight="1" s="125">
      <c r="A20" t="inlineStr">
        <is>
          <t>B</t>
        </is>
      </c>
      <c r="B20" s="1" t="inlineStr">
        <is>
          <t xml:space="preserve">B414 </t>
        </is>
      </c>
      <c r="C20">
        <f>IFERROR(VLOOKUP('Jul-Sep23PjtMHShortfall'!B20,#REF!,7,FALSE),0)</f>
        <v/>
      </c>
      <c r="D20">
        <f>IFERROR(VLOOKUP('Jul-Sep23PjtMHShortfall'!B20,#REF!,7,FALSE),0)</f>
        <v/>
      </c>
      <c r="E20">
        <f>IFERROR(VLOOKUP('Jul-Sep23PjtMHShortfall'!B20,#REF!,2,FALSE),0)</f>
        <v/>
      </c>
      <c r="G20">
        <f>IFERROR(VLOOKUP('Jul-Sep23PjtMHShortfall'!B20,#REF!,8,FALSE),0)</f>
        <v/>
      </c>
      <c r="H20">
        <f>IFERROR(VLOOKUP('Jul-Sep23PjtMHShortfall'!B20,#REF!,8,FALSE),0)</f>
        <v/>
      </c>
      <c r="I20">
        <f>IFERROR(VLOOKUP('Jul-Sep23PjtMHShortfall'!B20,#REF!,3,FALSE),0)</f>
        <v/>
      </c>
      <c r="J20">
        <f>SUM(C20:E20)</f>
        <v/>
      </c>
      <c r="K20">
        <f>J20-G20-H20-I20</f>
        <v/>
      </c>
    </row>
    <row r="21">
      <c r="A21" t="inlineStr">
        <is>
          <t>C</t>
        </is>
      </c>
      <c r="B21" s="1" t="inlineStr">
        <is>
          <t>B015</t>
        </is>
      </c>
      <c r="C21">
        <f>IFERROR(VLOOKUP('Jul-Sep23PjtMHShortfall'!B21,#REF!,7,FALSE),0)</f>
        <v/>
      </c>
      <c r="D21">
        <f>IFERROR(VLOOKUP('Jul-Sep23PjtMHShortfall'!B21,#REF!,7,FALSE),0)</f>
        <v/>
      </c>
      <c r="E21">
        <f>IFERROR(VLOOKUP('Jul-Sep23PjtMHShortfall'!B21,#REF!,2,FALSE),0)</f>
        <v/>
      </c>
      <c r="G21">
        <f>IFERROR(VLOOKUP('Jul-Sep23PjtMHShortfall'!B21,#REF!,8,FALSE),0)</f>
        <v/>
      </c>
      <c r="H21">
        <f>IFERROR(VLOOKUP('Jul-Sep23PjtMHShortfall'!B21,#REF!,8,FALSE),0)</f>
        <v/>
      </c>
      <c r="I21">
        <f>IFERROR(VLOOKUP('Jul-Sep23PjtMHShortfall'!B21,#REF!,3,FALSE),0)</f>
        <v/>
      </c>
      <c r="J21">
        <f>SUM(C21:E21)</f>
        <v/>
      </c>
      <c r="K21">
        <f>J21-G21-H21-I21</f>
        <v/>
      </c>
    </row>
    <row r="22">
      <c r="A22" t="inlineStr">
        <is>
          <t>B</t>
        </is>
      </c>
      <c r="B22" s="1" t="inlineStr">
        <is>
          <t xml:space="preserve">B048 </t>
        </is>
      </c>
      <c r="C22">
        <f>IFERROR(VLOOKUP('Jul-Sep23PjtMHShortfall'!B22,#REF!,7,FALSE),0)</f>
        <v/>
      </c>
      <c r="D22">
        <f>IFERROR(VLOOKUP('Jul-Sep23PjtMHShortfall'!B22,#REF!,7,FALSE),0)</f>
        <v/>
      </c>
      <c r="E22">
        <f>IFERROR(VLOOKUP('Jul-Sep23PjtMHShortfall'!B22,#REF!,2,FALSE),0)</f>
        <v/>
      </c>
      <c r="G22">
        <f>IFERROR(VLOOKUP('Jul-Sep23PjtMHShortfall'!B22,#REF!,8,FALSE),0)</f>
        <v/>
      </c>
      <c r="H22">
        <f>IFERROR(VLOOKUP('Jul-Sep23PjtMHShortfall'!B22,#REF!,8,FALSE),0)</f>
        <v/>
      </c>
      <c r="I22">
        <f>IFERROR(VLOOKUP('Jul-Sep23PjtMHShortfall'!B22,#REF!,3,FALSE),0)</f>
        <v/>
      </c>
      <c r="J22">
        <f>SUM(C22:E22)</f>
        <v/>
      </c>
      <c r="K22">
        <f>J22-G22-H22-I22</f>
        <v/>
      </c>
    </row>
    <row r="23" ht="14.5" customHeight="1" s="125">
      <c r="A23" t="inlineStr">
        <is>
          <t>B</t>
        </is>
      </c>
      <c r="B23" s="1" t="inlineStr">
        <is>
          <t>B411</t>
        </is>
      </c>
      <c r="C23">
        <f>IFERROR(VLOOKUP('Jul-Sep23PjtMHShortfall'!B23,#REF!,7,FALSE),0)</f>
        <v/>
      </c>
      <c r="D23">
        <f>IFERROR(VLOOKUP('Jul-Sep23PjtMHShortfall'!B23,#REF!,7,FALSE),0)</f>
        <v/>
      </c>
      <c r="E23">
        <f>IFERROR(VLOOKUP('Jul-Sep23PjtMHShortfall'!B23,#REF!,2,FALSE),0)</f>
        <v/>
      </c>
      <c r="G23">
        <f>IFERROR(VLOOKUP('Jul-Sep23PjtMHShortfall'!B23,#REF!,8,FALSE),0)</f>
        <v/>
      </c>
      <c r="H23">
        <f>IFERROR(VLOOKUP('Jul-Sep23PjtMHShortfall'!B23,#REF!,8,FALSE),0)</f>
        <v/>
      </c>
      <c r="I23">
        <f>IFERROR(VLOOKUP('Jul-Sep23PjtMHShortfall'!B23,#REF!,3,FALSE),0)</f>
        <v/>
      </c>
      <c r="J23">
        <f>SUM(C23:E23)</f>
        <v/>
      </c>
      <c r="K23">
        <f>J23-G23-H23-I23</f>
        <v/>
      </c>
    </row>
    <row r="24">
      <c r="A24" t="inlineStr">
        <is>
          <t>C</t>
        </is>
      </c>
      <c r="B24" s="1" t="inlineStr">
        <is>
          <t>B416</t>
        </is>
      </c>
      <c r="C24">
        <f>IFERROR(VLOOKUP('Jul-Sep23PjtMHShortfall'!B24,#REF!,7,FALSE),0)</f>
        <v/>
      </c>
      <c r="D24">
        <f>IFERROR(VLOOKUP('Jul-Sep23PjtMHShortfall'!B24,#REF!,7,FALSE),0)</f>
        <v/>
      </c>
      <c r="E24">
        <f>IFERROR(VLOOKUP('Jul-Sep23PjtMHShortfall'!B24,#REF!,2,FALSE),0)</f>
        <v/>
      </c>
      <c r="G24">
        <f>IFERROR(VLOOKUP('Jul-Sep23PjtMHShortfall'!B24,#REF!,8,FALSE),0)</f>
        <v/>
      </c>
      <c r="H24">
        <f>IFERROR(VLOOKUP('Jul-Sep23PjtMHShortfall'!B24,#REF!,8,FALSE),0)</f>
        <v/>
      </c>
      <c r="I24">
        <f>IFERROR(VLOOKUP('Jul-Sep23PjtMHShortfall'!B24,#REF!,3,FALSE),0)</f>
        <v/>
      </c>
      <c r="J24">
        <f>SUM(C24:E24)</f>
        <v/>
      </c>
      <c r="K24">
        <f>J24-G24-H24-I24</f>
        <v/>
      </c>
    </row>
    <row r="25" ht="14.5" customHeight="1" s="125">
      <c r="A25" t="inlineStr">
        <is>
          <t>B</t>
        </is>
      </c>
      <c r="B25" s="1" t="inlineStr">
        <is>
          <t>B359</t>
        </is>
      </c>
      <c r="C25">
        <f>IFERROR(VLOOKUP('Jul-Sep23PjtMHShortfall'!B25,#REF!,7,FALSE),0)</f>
        <v/>
      </c>
      <c r="D25">
        <f>IFERROR(VLOOKUP('Jul-Sep23PjtMHShortfall'!B25,#REF!,7,FALSE),0)</f>
        <v/>
      </c>
      <c r="E25">
        <f>IFERROR(VLOOKUP('Jul-Sep23PjtMHShortfall'!B25,#REF!,2,FALSE),0)</f>
        <v/>
      </c>
      <c r="G25">
        <f>IFERROR(VLOOKUP('Jul-Sep23PjtMHShortfall'!B25,#REF!,8,FALSE),0)</f>
        <v/>
      </c>
      <c r="H25">
        <f>IFERROR(VLOOKUP('Jul-Sep23PjtMHShortfall'!B25,#REF!,8,FALSE),0)</f>
        <v/>
      </c>
      <c r="I25">
        <f>IFERROR(VLOOKUP('Jul-Sep23PjtMHShortfall'!B25,#REF!,3,FALSE),0)</f>
        <v/>
      </c>
      <c r="J25">
        <f>SUM(C25:E25)</f>
        <v/>
      </c>
      <c r="K25">
        <f>J25-G25-H25-I25</f>
        <v/>
      </c>
    </row>
    <row r="26" ht="14.5" customHeight="1" s="125">
      <c r="A26" t="inlineStr">
        <is>
          <t>A</t>
        </is>
      </c>
      <c r="B26" s="1" t="inlineStr">
        <is>
          <t>B767</t>
        </is>
      </c>
      <c r="C26">
        <f>IFERROR(VLOOKUP('Jul-Sep23PjtMHShortfall'!B26,#REF!,7,FALSE),0)</f>
        <v/>
      </c>
      <c r="D26">
        <f>IFERROR(VLOOKUP('Jul-Sep23PjtMHShortfall'!B26,#REF!,7,FALSE),0)</f>
        <v/>
      </c>
      <c r="E26">
        <f>IFERROR(VLOOKUP('Jul-Sep23PjtMHShortfall'!B26,#REF!,2,FALSE),0)</f>
        <v/>
      </c>
      <c r="G26">
        <f>IFERROR(VLOOKUP('Jul-Sep23PjtMHShortfall'!B26,#REF!,8,FALSE),0)</f>
        <v/>
      </c>
      <c r="H26">
        <f>IFERROR(VLOOKUP('Jul-Sep23PjtMHShortfall'!B26,#REF!,8,FALSE),0)</f>
        <v/>
      </c>
      <c r="I26">
        <f>IFERROR(VLOOKUP('Jul-Sep23PjtMHShortfall'!B26,#REF!,3,FALSE),0)</f>
        <v/>
      </c>
      <c r="J26">
        <f>SUM(C26:E26)</f>
        <v/>
      </c>
      <c r="K26">
        <f>J26-G26-H26-I26</f>
        <v/>
      </c>
    </row>
    <row r="27" ht="14.5" customHeight="1" s="125">
      <c r="A27" t="inlineStr">
        <is>
          <t>C</t>
        </is>
      </c>
      <c r="B27" s="1" t="inlineStr">
        <is>
          <t>B016</t>
        </is>
      </c>
      <c r="C27">
        <f>IFERROR(VLOOKUP('Jul-Sep23PjtMHShortfall'!B27,#REF!,7,FALSE),0)</f>
        <v/>
      </c>
      <c r="D27">
        <f>IFERROR(VLOOKUP('Jul-Sep23PjtMHShortfall'!B27,#REF!,7,FALSE),0)</f>
        <v/>
      </c>
      <c r="E27">
        <f>IFERROR(VLOOKUP('Jul-Sep23PjtMHShortfall'!B27,#REF!,2,FALSE),0)</f>
        <v/>
      </c>
      <c r="G27">
        <f>IFERROR(VLOOKUP('Jul-Sep23PjtMHShortfall'!B27,#REF!,8,FALSE),0)</f>
        <v/>
      </c>
      <c r="H27">
        <f>IFERROR(VLOOKUP('Jul-Sep23PjtMHShortfall'!B27,#REF!,8,FALSE),0)</f>
        <v/>
      </c>
      <c r="I27">
        <f>IFERROR(VLOOKUP('Jul-Sep23PjtMHShortfall'!B27,#REF!,3,FALSE),0)</f>
        <v/>
      </c>
      <c r="J27">
        <f>SUM(C27:E27)</f>
        <v/>
      </c>
      <c r="K27">
        <f>J27-G27-H27-I27</f>
        <v/>
      </c>
    </row>
    <row r="28" ht="14.5" customHeight="1" s="125">
      <c r="A28" t="inlineStr">
        <is>
          <t>B</t>
        </is>
      </c>
      <c r="B28" s="1" t="inlineStr">
        <is>
          <t>B239</t>
        </is>
      </c>
      <c r="C28">
        <f>IFERROR(VLOOKUP('Jul-Sep23PjtMHShortfall'!B28,#REF!,7,FALSE),0)</f>
        <v/>
      </c>
      <c r="D28">
        <f>IFERROR(VLOOKUP('Jul-Sep23PjtMHShortfall'!B28,#REF!,7,FALSE),0)</f>
        <v/>
      </c>
      <c r="E28">
        <f>IFERROR(VLOOKUP('Jul-Sep23PjtMHShortfall'!B28,#REF!,2,FALSE),0)</f>
        <v/>
      </c>
      <c r="G28">
        <f>IFERROR(VLOOKUP('Jul-Sep23PjtMHShortfall'!B28,#REF!,8,FALSE),0)</f>
        <v/>
      </c>
      <c r="H28">
        <f>IFERROR(VLOOKUP('Jul-Sep23PjtMHShortfall'!B28,#REF!,8,FALSE),0)</f>
        <v/>
      </c>
      <c r="I28">
        <f>IFERROR(VLOOKUP('Jul-Sep23PjtMHShortfall'!B28,#REF!,3,FALSE),0)</f>
        <v/>
      </c>
      <c r="J28">
        <f>SUM(C28:E28)</f>
        <v/>
      </c>
      <c r="K28">
        <f>J28-G28-H28-I28</f>
        <v/>
      </c>
    </row>
    <row r="29">
      <c r="A29" t="inlineStr">
        <is>
          <t>B</t>
        </is>
      </c>
      <c r="B29" s="1" t="inlineStr">
        <is>
          <t>B475</t>
        </is>
      </c>
      <c r="C29">
        <f>IFERROR(VLOOKUP('Jul-Sep23PjtMHShortfall'!B29,#REF!,7,FALSE),0)</f>
        <v/>
      </c>
      <c r="D29">
        <f>IFERROR(VLOOKUP('Jul-Sep23PjtMHShortfall'!B29,#REF!,7,FALSE),0)</f>
        <v/>
      </c>
      <c r="E29">
        <f>IFERROR(VLOOKUP('Jul-Sep23PjtMHShortfall'!B29,#REF!,2,FALSE),0)</f>
        <v/>
      </c>
      <c r="G29">
        <f>IFERROR(VLOOKUP('Jul-Sep23PjtMHShortfall'!B29,#REF!,8,FALSE),0)</f>
        <v/>
      </c>
      <c r="H29">
        <f>IFERROR(VLOOKUP('Jul-Sep23PjtMHShortfall'!B29,#REF!,8,FALSE),0)</f>
        <v/>
      </c>
      <c r="I29">
        <f>IFERROR(VLOOKUP('Jul-Sep23PjtMHShortfall'!B29,#REF!,3,FALSE),0)</f>
        <v/>
      </c>
      <c r="J29">
        <f>SUM(C29:E29)</f>
        <v/>
      </c>
      <c r="K29">
        <f>J29-G29-H29-I29</f>
        <v/>
      </c>
    </row>
    <row r="30">
      <c r="A30" t="inlineStr">
        <is>
          <t>B</t>
        </is>
      </c>
      <c r="B30" s="1" t="inlineStr">
        <is>
          <t>B398</t>
        </is>
      </c>
      <c r="C30">
        <f>IFERROR(VLOOKUP('Jul-Sep23PjtMHShortfall'!B30,#REF!,7,FALSE),0)</f>
        <v/>
      </c>
      <c r="D30">
        <f>IFERROR(VLOOKUP('Jul-Sep23PjtMHShortfall'!B30,#REF!,7,FALSE),0)</f>
        <v/>
      </c>
      <c r="E30">
        <f>IFERROR(VLOOKUP('Jul-Sep23PjtMHShortfall'!B30,#REF!,2,FALSE),0)</f>
        <v/>
      </c>
      <c r="G30">
        <f>IFERROR(VLOOKUP('Jul-Sep23PjtMHShortfall'!B30,#REF!,8,FALSE),0)</f>
        <v/>
      </c>
      <c r="H30">
        <f>IFERROR(VLOOKUP('Jul-Sep23PjtMHShortfall'!B30,#REF!,8,FALSE),0)</f>
        <v/>
      </c>
      <c r="I30">
        <f>IFERROR(VLOOKUP('Jul-Sep23PjtMHShortfall'!B30,#REF!,3,FALSE),0)</f>
        <v/>
      </c>
      <c r="J30">
        <f>SUM(C30:E30)</f>
        <v/>
      </c>
      <c r="K30">
        <f>J30-G30-H30-I30</f>
        <v/>
      </c>
    </row>
    <row r="31" ht="14.5" customHeight="1" s="125">
      <c r="B31" s="15" t="n">
        <v>8518</v>
      </c>
      <c r="C31">
        <f>IFERROR(VLOOKUP('Jul-Sep23PjtMHShortfall'!B31,#REF!,7,FALSE),0)</f>
        <v/>
      </c>
      <c r="D31">
        <f>IFERROR(VLOOKUP('Jul-Sep23PjtMHShortfall'!B31,#REF!,7,FALSE),0)</f>
        <v/>
      </c>
      <c r="E31">
        <f>IFERROR(VLOOKUP('Jul-Sep23PjtMHShortfall'!B31,#REF!,2,FALSE),0)</f>
        <v/>
      </c>
      <c r="G31">
        <f>IFERROR(VLOOKUP('Jul-Sep23PjtMHShortfall'!B31,#REF!,8,FALSE),0)</f>
        <v/>
      </c>
      <c r="H31">
        <f>IFERROR(VLOOKUP('Jul-Sep23PjtMHShortfall'!B31,#REF!,8,FALSE),0)</f>
        <v/>
      </c>
      <c r="I31">
        <f>IFERROR(VLOOKUP('Jul-Sep23PjtMHShortfall'!B31,#REF!,3,FALSE),0)</f>
        <v/>
      </c>
      <c r="J31">
        <f>SUM(C31:E31)</f>
        <v/>
      </c>
      <c r="K31">
        <f>J31-G31-H31-I31</f>
        <v/>
      </c>
    </row>
    <row r="32" ht="14.5" customHeight="1" s="125">
      <c r="A32" t="inlineStr">
        <is>
          <t>A</t>
        </is>
      </c>
      <c r="B32" s="1" t="inlineStr">
        <is>
          <t>A545</t>
        </is>
      </c>
      <c r="C32">
        <f>IFERROR(VLOOKUP('Jul-Sep23PjtMHShortfall'!B32,#REF!,7,FALSE),0)</f>
        <v/>
      </c>
      <c r="D32">
        <f>IFERROR(VLOOKUP('Jul-Sep23PjtMHShortfall'!B32,#REF!,7,FALSE),0)</f>
        <v/>
      </c>
      <c r="E32">
        <f>IFERROR(VLOOKUP('Jul-Sep23PjtMHShortfall'!B32,#REF!,2,FALSE),0)</f>
        <v/>
      </c>
      <c r="G32">
        <f>IFERROR(VLOOKUP('Jul-Sep23PjtMHShortfall'!B32,#REF!,8,FALSE),0)</f>
        <v/>
      </c>
      <c r="H32">
        <f>IFERROR(VLOOKUP('Jul-Sep23PjtMHShortfall'!B32,#REF!,8,FALSE),0)</f>
        <v/>
      </c>
      <c r="I32">
        <f>IFERROR(VLOOKUP('Jul-Sep23PjtMHShortfall'!B32,#REF!,3,FALSE),0)</f>
        <v/>
      </c>
      <c r="J32">
        <f>SUM(C32:E32)</f>
        <v/>
      </c>
      <c r="K32">
        <f>J32-G32-H32-I32</f>
        <v/>
      </c>
    </row>
    <row r="33" ht="14.5" customHeight="1" s="125">
      <c r="A33" t="inlineStr">
        <is>
          <t>C</t>
        </is>
      </c>
      <c r="B33" s="1" t="inlineStr">
        <is>
          <t>B018</t>
        </is>
      </c>
      <c r="C33">
        <f>IFERROR(VLOOKUP('Jul-Sep23PjtMHShortfall'!B33,#REF!,7,FALSE),0)</f>
        <v/>
      </c>
      <c r="D33">
        <f>IFERROR(VLOOKUP('Jul-Sep23PjtMHShortfall'!B33,#REF!,7,FALSE),0)</f>
        <v/>
      </c>
      <c r="E33">
        <f>IFERROR(VLOOKUP('Jul-Sep23PjtMHShortfall'!B33,#REF!,2,FALSE),0)</f>
        <v/>
      </c>
      <c r="G33">
        <f>IFERROR(VLOOKUP('Jul-Sep23PjtMHShortfall'!B33,#REF!,8,FALSE),0)</f>
        <v/>
      </c>
      <c r="H33">
        <f>IFERROR(VLOOKUP('Jul-Sep23PjtMHShortfall'!B33,#REF!,8,FALSE),0)</f>
        <v/>
      </c>
      <c r="I33">
        <f>IFERROR(VLOOKUP('Jul-Sep23PjtMHShortfall'!B33,#REF!,3,FALSE),0)</f>
        <v/>
      </c>
      <c r="J33">
        <f>SUM(C33:E33)</f>
        <v/>
      </c>
      <c r="K33">
        <f>J33-G33-H33-I33</f>
        <v/>
      </c>
    </row>
    <row r="34">
      <c r="A34" t="inlineStr">
        <is>
          <t>B</t>
        </is>
      </c>
      <c r="B34" s="1" t="inlineStr">
        <is>
          <t>B548</t>
        </is>
      </c>
      <c r="C34">
        <f>IFERROR(VLOOKUP('Jul-Sep23PjtMHShortfall'!B34,#REF!,7,FALSE),0)</f>
        <v/>
      </c>
      <c r="D34">
        <f>IFERROR(VLOOKUP('Jul-Sep23PjtMHShortfall'!B34,#REF!,7,FALSE),0)</f>
        <v/>
      </c>
      <c r="E34">
        <f>IFERROR(VLOOKUP('Jul-Sep23PjtMHShortfall'!B34,#REF!,2,FALSE),0)</f>
        <v/>
      </c>
      <c r="G34">
        <f>IFERROR(VLOOKUP('Jul-Sep23PjtMHShortfall'!B34,#REF!,8,FALSE),0)</f>
        <v/>
      </c>
      <c r="H34">
        <f>IFERROR(VLOOKUP('Jul-Sep23PjtMHShortfall'!B34,#REF!,8,FALSE),0)</f>
        <v/>
      </c>
      <c r="I34">
        <f>IFERROR(VLOOKUP('Jul-Sep23PjtMHShortfall'!B34,#REF!,3,FALSE),0)</f>
        <v/>
      </c>
      <c r="J34">
        <f>SUM(C34:E34)</f>
        <v/>
      </c>
      <c r="K34">
        <f>J34-G34-H34-I34</f>
        <v/>
      </c>
    </row>
    <row r="35" ht="14.5" customHeight="1" s="125">
      <c r="A35" t="inlineStr">
        <is>
          <t>PDD</t>
        </is>
      </c>
      <c r="B35" s="15" t="n">
        <v>4994</v>
      </c>
      <c r="C35">
        <f>IFERROR(VLOOKUP('Jul-Sep23PjtMHShortfall'!B35,#REF!,7,FALSE),0)</f>
        <v/>
      </c>
      <c r="D35">
        <f>IFERROR(VLOOKUP('Jul-Sep23PjtMHShortfall'!B35,#REF!,7,FALSE),0)</f>
        <v/>
      </c>
      <c r="E35">
        <f>IFERROR(VLOOKUP('Jul-Sep23PjtMHShortfall'!B35,#REF!,2,FALSE),0)</f>
        <v/>
      </c>
      <c r="G35">
        <f>IFERROR(VLOOKUP('Jul-Sep23PjtMHShortfall'!B35,#REF!,8,FALSE),0)</f>
        <v/>
      </c>
      <c r="H35">
        <f>IFERROR(VLOOKUP('Jul-Sep23PjtMHShortfall'!B35,#REF!,8,FALSE),0)</f>
        <v/>
      </c>
      <c r="I35">
        <f>IFERROR(VLOOKUP('Jul-Sep23PjtMHShortfall'!B35,#REF!,3,FALSE),0)</f>
        <v/>
      </c>
      <c r="J35">
        <f>SUM(C35:E35)</f>
        <v/>
      </c>
      <c r="K35">
        <f>J35-G35-H35-I35</f>
        <v/>
      </c>
    </row>
    <row r="36" ht="14.5" customHeight="1" s="125">
      <c r="A36" t="inlineStr">
        <is>
          <t>A</t>
        </is>
      </c>
      <c r="B36" s="3" t="inlineStr">
        <is>
          <t xml:space="preserve">B185 </t>
        </is>
      </c>
      <c r="C36">
        <f>IFERROR(VLOOKUP('Jul-Sep23PjtMHShortfall'!B36,#REF!,7,FALSE),0)</f>
        <v/>
      </c>
      <c r="D36">
        <f>IFERROR(VLOOKUP('Jul-Sep23PjtMHShortfall'!B36,#REF!,7,FALSE),0)</f>
        <v/>
      </c>
      <c r="E36">
        <f>IFERROR(VLOOKUP('Jul-Sep23PjtMHShortfall'!B36,#REF!,2,FALSE),0)</f>
        <v/>
      </c>
      <c r="G36">
        <f>IFERROR(VLOOKUP('Jul-Sep23PjtMHShortfall'!B36,#REF!,8,FALSE),0)</f>
        <v/>
      </c>
      <c r="H36" t="n">
        <v>0</v>
      </c>
      <c r="I36">
        <f>IFERROR(VLOOKUP('Jul-Sep23PjtMHShortfall'!B36,#REF!,3,FALSE),0)</f>
        <v/>
      </c>
      <c r="J36">
        <f>SUM(C36:E36)</f>
        <v/>
      </c>
      <c r="K36">
        <f>J36-G36-H36-I36</f>
        <v/>
      </c>
    </row>
    <row r="37">
      <c r="A37" t="inlineStr">
        <is>
          <t>C</t>
        </is>
      </c>
      <c r="B37" s="1" t="inlineStr">
        <is>
          <t>B016</t>
        </is>
      </c>
      <c r="C37">
        <f>IFERROR(VLOOKUP('Jul-Sep23PjtMHShortfall'!B37,#REF!,7,FALSE),0)</f>
        <v/>
      </c>
      <c r="D37">
        <f>IFERROR(VLOOKUP('Jul-Sep23PjtMHShortfall'!B37,#REF!,7,FALSE),0)</f>
        <v/>
      </c>
      <c r="E37">
        <f>IFERROR(VLOOKUP('Jul-Sep23PjtMHShortfall'!B37,#REF!,2,FALSE),0)</f>
        <v/>
      </c>
      <c r="G37">
        <f>IFERROR(VLOOKUP('Jul-Sep23PjtMHShortfall'!B37,#REF!,8,FALSE),0)</f>
        <v/>
      </c>
      <c r="H37">
        <f>IFERROR(VLOOKUP('Jul-Sep23PjtMHShortfall'!B37,#REF!,8,FALSE),0)</f>
        <v/>
      </c>
      <c r="I37">
        <f>IFERROR(VLOOKUP('Jul-Sep23PjtMHShortfall'!B37,#REF!,3,FALSE),0)</f>
        <v/>
      </c>
      <c r="J37">
        <f>SUM(C37:E37)</f>
        <v/>
      </c>
      <c r="K37">
        <f>J37-G37-H37-I37</f>
        <v/>
      </c>
    </row>
    <row r="38">
      <c r="A38" t="inlineStr">
        <is>
          <t>B</t>
        </is>
      </c>
      <c r="B38" s="11" t="inlineStr">
        <is>
          <t>A538</t>
        </is>
      </c>
      <c r="C38">
        <f>IFERROR(VLOOKUP('Jul-Sep23PjtMHShortfall'!B38,#REF!,7,FALSE),0)</f>
        <v/>
      </c>
      <c r="D38">
        <f>IFERROR(VLOOKUP('Jul-Sep23PjtMHShortfall'!B38,#REF!,7,FALSE),0)</f>
        <v/>
      </c>
      <c r="E38">
        <f>IFERROR(VLOOKUP('Jul-Sep23PjtMHShortfall'!B38,#REF!,2,FALSE),0)</f>
        <v/>
      </c>
      <c r="G38">
        <f>IFERROR(VLOOKUP('Jul-Sep23PjtMHShortfall'!B38,#REF!,8,FALSE),0)</f>
        <v/>
      </c>
      <c r="H38" t="n">
        <v>0</v>
      </c>
      <c r="I38" t="n">
        <v>0</v>
      </c>
      <c r="J38">
        <f>SUM(C38:E38)</f>
        <v/>
      </c>
      <c r="K38">
        <f>J38-G38-H38-I38</f>
        <v/>
      </c>
    </row>
    <row r="39">
      <c r="A39" t="inlineStr">
        <is>
          <t>B</t>
        </is>
      </c>
      <c r="B39" s="11" t="inlineStr">
        <is>
          <t>A922</t>
        </is>
      </c>
      <c r="C39">
        <f>IFERROR(VLOOKUP('Jul-Sep23PjtMHShortfall'!B39,#REF!,7,FALSE),0)</f>
        <v/>
      </c>
      <c r="D39">
        <f>IFERROR(VLOOKUP('Jul-Sep23PjtMHShortfall'!B39,#REF!,7,FALSE),0)</f>
        <v/>
      </c>
      <c r="E39">
        <f>IFERROR(VLOOKUP('Jul-Sep23PjtMHShortfall'!B39,#REF!,2,FALSE),0)</f>
        <v/>
      </c>
      <c r="G39">
        <f>IFERROR(VLOOKUP('Jul-Sep23PjtMHShortfall'!B39,#REF!,8,FALSE),0)</f>
        <v/>
      </c>
      <c r="H39">
        <f>IFERROR(VLOOKUP('Jul-Sep23PjtMHShortfall'!B39,#REF!,8,FALSE),0)</f>
        <v/>
      </c>
      <c r="I39">
        <f>IFERROR(VLOOKUP('Jul-Sep23PjtMHShortfall'!B39,#REF!,3,FALSE),0)</f>
        <v/>
      </c>
      <c r="J39">
        <f>SUM(C39:E39)</f>
        <v/>
      </c>
      <c r="K39">
        <f>J39-G39-H39-I39</f>
        <v/>
      </c>
    </row>
    <row r="40">
      <c r="A40" t="inlineStr">
        <is>
          <t>B</t>
        </is>
      </c>
      <c r="B40" s="11" t="inlineStr">
        <is>
          <t>B182</t>
        </is>
      </c>
      <c r="C40">
        <f>IFERROR(VLOOKUP('Jul-Sep23PjtMHShortfall'!B40,#REF!,7,FALSE),0)</f>
        <v/>
      </c>
      <c r="D40">
        <f>IFERROR(VLOOKUP('Jul-Sep23PjtMHShortfall'!B40,#REF!,7,FALSE),0)</f>
        <v/>
      </c>
      <c r="E40">
        <f>IFERROR(VLOOKUP('Jul-Sep23PjtMHShortfall'!B40,#REF!,2,FALSE),0)</f>
        <v/>
      </c>
      <c r="G40">
        <f>IFERROR(VLOOKUP('Jul-Sep23PjtMHShortfall'!B40,#REF!,8,FALSE),0)</f>
        <v/>
      </c>
      <c r="H40">
        <f>IFERROR(VLOOKUP('Jul-Sep23PjtMHShortfall'!B40,#REF!,8,FALSE),0)</f>
        <v/>
      </c>
      <c r="I40">
        <f>IFERROR(VLOOKUP('Jul-Sep23PjtMHShortfall'!B40,#REF!,3,FALSE),0)</f>
        <v/>
      </c>
      <c r="J40">
        <f>SUM(C40:E40)</f>
        <v/>
      </c>
      <c r="K40">
        <f>J40-G40-H40-I40</f>
        <v/>
      </c>
    </row>
    <row r="41">
      <c r="B41" s="11" t="n">
        <v>8574</v>
      </c>
      <c r="E41" t="n">
        <v>16</v>
      </c>
      <c r="I41">
        <f>IFERROR(VLOOKUP('Jul-Sep23PjtMHShortfall'!B41,#REF!,3,FALSE),0)</f>
        <v/>
      </c>
      <c r="J41">
        <f>SUM(C41:E41)</f>
        <v/>
      </c>
      <c r="K41">
        <f>J41-G41-H41-I41</f>
        <v/>
      </c>
    </row>
  </sheetData>
  <mergeCells count="3">
    <mergeCell ref="C3:E3"/>
    <mergeCell ref="A2:H2"/>
    <mergeCell ref="G3:I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EIL</dc:creator>
  <dcterms:created xmlns:dcterms="http://purl.org/dc/terms/" xmlns:xsi="http://www.w3.org/2001/XMLSchema-instance" xsi:type="dcterms:W3CDTF">2016-12-19T05:48:31Z</dcterms:created>
  <dcterms:modified xmlns:dcterms="http://purl.org/dc/terms/" xmlns:xsi="http://www.w3.org/2001/XMLSchema-instance" xsi:type="dcterms:W3CDTF">2026-08-25T04:39:15Z</dcterms:modified>
  <cp:lastModifiedBy>rajeshwari v</cp:lastModifiedBy>
</cp:coreProperties>
</file>